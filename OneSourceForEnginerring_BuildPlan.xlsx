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66925"/>
  <mc:AlternateContent xmlns:mc="http://schemas.openxmlformats.org/markup-compatibility/2006">
    <mc:Choice Requires="x15">
      <x15ac:absPath xmlns:x15ac="http://schemas.microsoft.com/office/spreadsheetml/2010/11/ac" url="https://honeywellprod.sharepoint.com/teams/ProjectWinter2/Shared Documents/Execution/04. Workstream Teams/04 - IT/99. Engg App Stores Test cases/Aero App Execution/2. Design/Design Packages - R&amp;D Apps/"/>
    </mc:Choice>
  </mc:AlternateContent>
  <xr:revisionPtr revIDLastSave="0" documentId="8_{5F565F10-FA22-4A2A-AB05-9AF606378F64}" xr6:coauthVersionLast="47" xr6:coauthVersionMax="47" xr10:uidLastSave="{00000000-0000-0000-0000-000000000000}"/>
  <bookViews>
    <workbookView xWindow="-108" yWindow="-108" windowWidth="23256" windowHeight="13896" firstSheet="1" activeTab="1" xr2:uid="{00000000-000D-0000-FFFF-FFFF00000000}"/>
  </bookViews>
  <sheets>
    <sheet name="1S4E_Prod" sheetId="1" r:id="rId1"/>
    <sheet name="1S4E_Q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9" i="2" l="1"/>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alcChain>
</file>

<file path=xl/sharedStrings.xml><?xml version="1.0" encoding="utf-8"?>
<sst xmlns="http://schemas.openxmlformats.org/spreadsheetml/2006/main" count="521" uniqueCount="166">
  <si>
    <t>Migration Build Template - One Source For Engineering</t>
  </si>
  <si>
    <t>Application Name</t>
  </si>
  <si>
    <t>ONESOURCE FOR ENGINEERING 8.0 PROD</t>
  </si>
  <si>
    <t>App Profiling</t>
  </si>
  <si>
    <t>Function</t>
  </si>
  <si>
    <t>R&amp;D</t>
  </si>
  <si>
    <t>Change Request #</t>
  </si>
  <si>
    <t>BAN</t>
  </si>
  <si>
    <t>BAN0005525</t>
  </si>
  <si>
    <t>Disposition</t>
  </si>
  <si>
    <t>AWS</t>
  </si>
  <si>
    <t>ASN</t>
  </si>
  <si>
    <t>ASN0000261</t>
  </si>
  <si>
    <t>Database type(s)</t>
  </si>
  <si>
    <t>Environment</t>
  </si>
  <si>
    <t>Prod</t>
  </si>
  <si>
    <t>Current Install Type</t>
  </si>
  <si>
    <t># Services</t>
  </si>
  <si>
    <t>EC2, RDS</t>
  </si>
  <si>
    <t>Application Type</t>
  </si>
  <si>
    <t>Source AWS Account</t>
  </si>
  <si>
    <t> 464477000189</t>
  </si>
  <si>
    <t>Destination AWS Account</t>
  </si>
  <si>
    <t>ID</t>
  </si>
  <si>
    <t>Phase</t>
  </si>
  <si>
    <t>Activities</t>
  </si>
  <si>
    <t>Description</t>
  </si>
  <si>
    <t>SOP Link</t>
  </si>
  <si>
    <t>Team</t>
  </si>
  <si>
    <t>Status</t>
  </si>
  <si>
    <t>Discovery &amp; Design</t>
  </si>
  <si>
    <t>jan</t>
  </si>
  <si>
    <t>Identify the owners &amp; source AWS account number – Business, Technical, and Site/ Run/ Service Owners and document the application summary tab of the application profile for a given Tranche​ that are working on</t>
  </si>
  <si>
    <t>SOP 002 - Identify the owners – Business, Technical, and Site/ Run/ Service Owners​</t>
  </si>
  <si>
    <t>App Execution</t>
  </si>
  <si>
    <t>Verify App Execution team has the proper access to source AWS account and AERO AWS</t>
  </si>
  <si>
    <t xml:space="preserve">Verify that all App Execution PwC team members who will be assisting with the application discovery and post-infrastructure configuration/setup have access to the source AWS account and the Aero AWS environement. </t>
  </si>
  <si>
    <t>Cloud - AWS - Test Access to HON and AERO.docx</t>
  </si>
  <si>
    <t>Verify App Factory team has the proper access to source AWS account and AERO AWS</t>
  </si>
  <si>
    <t xml:space="preserve">Verify that all PwC team members who will be assisting with the application migration have access to the source AWS account and the Aero AWS environement. </t>
  </si>
  <si>
    <t>App Factory</t>
  </si>
  <si>
    <t>Submit the Change Request</t>
  </si>
  <si>
    <t>Provided this is a migration, a clone and migrate, ad flip, or any other "chanage" (i.e., not a new build), submit a change request through the honeywell change request process to get the build process started.</t>
  </si>
  <si>
    <t>Change Request Creation SOP</t>
  </si>
  <si>
    <t>Create an AERO/New Honeywell ASN</t>
  </si>
  <si>
    <t>An Aero ASN needs to be generated before any Aero landing zone or resources can be created.</t>
  </si>
  <si>
    <t>Update ASN Disposition</t>
  </si>
  <si>
    <t>Communicate with Application Service Owner the requirement to update the ASN disposition in CMDB prior to app migration, so CMDB data is maintained accrurately</t>
  </si>
  <si>
    <t>SOP011.1 - IT Direct Process - BAN / ASN Create-Update</t>
  </si>
  <si>
    <t>Gather Account Deployment Prerequisites</t>
  </si>
  <si>
    <t>SBU, SBE, App Name, ASN, BAC, USD Spend, AOP, 2 Contacts, Environment, Region, Networking</t>
  </si>
  <si>
    <t>Create an AWS Landing Zone</t>
  </si>
  <si>
    <t>AWS Account Setup (Landing Zone Creation)</t>
  </si>
  <si>
    <t>Deploy the AWS Landing Zone (AERO AWS account and VPC/Subnet provisioning) via ServiceNow</t>
  </si>
  <si>
    <t>Complete the AWS resource tracker &amp; Open a teams chat (with app name) for this build</t>
  </si>
  <si>
    <t>Create a copy of this form, save it to the worksteams sharepoint for each ASN and identify services and resources in the source AWS account that are needed in the target account. This will be used for both the build and tracking of cutover readiness. This form is critical to the cloud migration success since the CMDB data is incomplete for cloud.</t>
  </si>
  <si>
    <t>Pattern 5 - Cloud Builds - Resource Tracker</t>
  </si>
  <si>
    <t>App Execution (Primary) / App Factory (Secondary)</t>
  </si>
  <si>
    <t>Run CloudFormation IaC Generation for Discovery</t>
  </si>
  <si>
    <t>Run CloudFormation IaC generator on all resources for discovery and future template generation</t>
  </si>
  <si>
    <t xml:space="preserve">Cloud - AWS - Essential - CloudFormation IaC Generator.docx </t>
  </si>
  <si>
    <t>AWS Readiness Essentials</t>
  </si>
  <si>
    <t>Create any AERO AD groups and required certificates</t>
  </si>
  <si>
    <t>Create any AERO AD groups needed to support the application (You will need this group for any SSL Certs). AD group members should be used for managing certificates with members being App Factory, App Execution, and App Owner. Typically just one group has been needed. Group needs to be created and certificate management team adds permissions on the backend. AD group creation in IT Direct. Certificate creation is managed through a distribution list. Certificates typically needed for ALBs. External - Honeywellaerospace.com signed by Digicert.</t>
  </si>
  <si>
    <t>IAM Services Catalog.pptx</t>
  </si>
  <si>
    <t>Upload certificates to AWS certificate manager on target account (landing zone)</t>
  </si>
  <si>
    <t xml:space="preserve">Upload certificate(s) in AWS certificate manager </t>
  </si>
  <si>
    <t>Infrastructure Readiness</t>
  </si>
  <si>
    <t>IAM Permission Mirroring</t>
  </si>
  <si>
    <t>Mirror the permissions used by the application into the target AWS account. Discovery template should provide a list of users/roles/policies to be deployed in the target state. Use IaC generated cloudformation to upload to target. May need to change account number to target account in IaC before uploading. Use editor tools such as VScode in your VDI. For any credential creation for users you must contact Chris Clegg to provide these once users have been created.</t>
  </si>
  <si>
    <t>IAM Permissions Creation SOP</t>
  </si>
  <si>
    <t>CI/CD Setup</t>
  </si>
  <si>
    <t>Recreate any 3rd party CI/CD pipelines (CodePipeline, Jenkins, etc.) into the new AWS account. App execution team needs to get access to the deployment pipeline</t>
  </si>
  <si>
    <t>Database migration planning</t>
  </si>
  <si>
    <t xml:space="preserve">Contact the PwC database team (Gautam/Andew T.) to start planning the database migration approach. </t>
  </si>
  <si>
    <t>App Factory (DB Team)</t>
  </si>
  <si>
    <t>Deploy any VPC endpoints</t>
  </si>
  <si>
    <t>Deploy VPC endpoints that support the application or services. If using EC2s, you will need to set up the 3 specific SSM endpoints. Need to copy remaining endpoints from source account.</t>
  </si>
  <si>
    <t>Cloud - AWS - VPC Endpoints &amp; SSM Setup.docx</t>
  </si>
  <si>
    <t>Deploy serverless AWS services</t>
  </si>
  <si>
    <t>This can include Lambda functions, S3 buckets, SQS, SNS, and all other serverless AWS services using Cloudformation IaC and/or manual configuration. App factory to create function and bring over old code or deploy as hello world. App execution should be able to standup and configure their app components such as SQS, SNS, etc.</t>
  </si>
  <si>
    <t>App Factory / App Execution - Joint</t>
  </si>
  <si>
    <t>Deploy compute instances</t>
  </si>
  <si>
    <r>
      <rPr>
        <b/>
        <sz val="11"/>
        <color rgb="FF000000"/>
        <rFont val="Calibri"/>
        <scheme val="minor"/>
      </rPr>
      <t>EC2s (VMs) CAN ONLY BE DEPLOYED THROUGH SERVICENOW/VM TEAM. PwC is UNABLE TO DO THIS DIRECTLY.</t>
    </r>
    <r>
      <rPr>
        <sz val="11"/>
        <color rgb="FF000000"/>
        <rFont val="Calibri"/>
        <scheme val="minor"/>
      </rPr>
      <t xml:space="preserve"> If AMI image(s) are present on source account, we need to find a way to share/move AMIs as private AMIs to target account. </t>
    </r>
    <r>
      <rPr>
        <b/>
        <sz val="11"/>
        <color rgb="FF000000"/>
        <rFont val="Calibri"/>
        <scheme val="minor"/>
      </rPr>
      <t>Honey well VM team contacts: Dylan Olson</t>
    </r>
  </si>
  <si>
    <t>Deploy Security groups</t>
  </si>
  <si>
    <t xml:space="preserve">Configure security groups as deployed in source to the target. Deploy manually if its a small group and if large (10+ rules, etc.) deploy from IaC template. Look out for rules which have references to other security group IDs, etc. </t>
  </si>
  <si>
    <t>Deploy Load Balancers</t>
  </si>
  <si>
    <t>Deploy ALB and NLB resources (reference uploaded certificates). Key watchout: public facing ALBs cannot directly see compute/web servers in the private web VPC. We need to set up a private NLB in the private web server VPC which can then be pointed to by the ALB. If it's a non-internet facing application, you can deploy the ALB directly in the private web VPC.</t>
  </si>
  <si>
    <t>Create DNS entries for new load balancers</t>
  </si>
  <si>
    <t>Create new Aero specific DNS entries for Load Balancers - App execution to now submit DNS request(s) and reference newly created load balancer information.</t>
  </si>
  <si>
    <t>Confirm source, destination and port for traffic leaving the AWS Account</t>
  </si>
  <si>
    <t>Collect all the relevant information about traffic leaving the AWS account for the target environment</t>
  </si>
  <si>
    <r>
      <rPr>
        <b/>
        <sz val="11"/>
        <color rgb="FF000000"/>
        <rFont val="Calibri"/>
        <scheme val="minor"/>
      </rPr>
      <t xml:space="preserve">CURRENT BLOCKER/ISSUE (NEED TO WORK WITH HONEYWELL TO RESOLVE/ESCALATE) </t>
    </r>
    <r>
      <rPr>
        <sz val="11"/>
        <color rgb="FF000000"/>
        <rFont val="Calibri"/>
        <scheme val="minor"/>
      </rPr>
      <t>Submit Firewall Requests to make sure VPCs can communicate and downstream applications can receive outbound traffic</t>
    </r>
  </si>
  <si>
    <t>Submit 2 firewall requests: 
1. Migration requirements between source and target AWS accounts. (Submitted by PwC)
2. Any traffic leaving a VPC that is required for the application to function. (Submitted by app owner)</t>
  </si>
  <si>
    <t>Cloud - AWS - Essential - Networking &amp; Firewall Requests.docx</t>
  </si>
  <si>
    <t>Test connecitvity post firewall request</t>
  </si>
  <si>
    <t>Verify all connecitivity is functional post</t>
  </si>
  <si>
    <t>Database migration</t>
  </si>
  <si>
    <t>The database team can perform the database migration if ready</t>
  </si>
  <si>
    <t>Verify connectivity to the newly migrated database</t>
  </si>
  <si>
    <t>Open firewall request which allows database team to connect to the database in the target account through their VDI. Mirror the method used in the source account (IAM Auth, local db user, etc) and verify app teams and pwc team can connect</t>
  </si>
  <si>
    <t>Service Readiness Verification</t>
  </si>
  <si>
    <t>Review resources in the AWS Service Discovery Template and make sure everything is now deployed and configured</t>
  </si>
  <si>
    <t>Handoff of completed resource tracker to Application Execution team</t>
  </si>
  <si>
    <t>Complete a final check of target state readiness (all resources deployed, firewall request complete, etc.) and hand back completed resource tracker to app execution team.</t>
  </si>
  <si>
    <t>Application Readiness</t>
  </si>
  <si>
    <t xml:space="preserve">Application Configuration </t>
  </si>
  <si>
    <t>Configure any IaaS level application changes for the target state</t>
  </si>
  <si>
    <t>SOP069-Application Configuration</t>
  </si>
  <si>
    <t xml:space="preserve">Service Configuration </t>
  </si>
  <si>
    <t>Configure any Service level changes for the target state</t>
  </si>
  <si>
    <t>SOP070-Service Configuration</t>
  </si>
  <si>
    <t>Data Assessment</t>
  </si>
  <si>
    <t>SOP 072 - Data Assessment and Validation-SOP</t>
  </si>
  <si>
    <t>Data Clean Up (if applicable)</t>
  </si>
  <si>
    <t>Data Validation (post clean up only)</t>
  </si>
  <si>
    <t>Configure CI/CD Pipelines (if applicable)</t>
  </si>
  <si>
    <t>SOP074-Configure CICD Pipelines-SOP</t>
  </si>
  <si>
    <t>Application Smoke Testing</t>
  </si>
  <si>
    <t>SOP 77 Application Smoke Testing</t>
  </si>
  <si>
    <t>Complete Post-Migration Checklist (Post-Build)</t>
  </si>
  <si>
    <t>SOP078 - Complete Post-Migration Checklist (Post-Build)-SOP.docx</t>
  </si>
  <si>
    <t>Submit any final DNS requests</t>
  </si>
  <si>
    <t>Technical Support</t>
  </si>
  <si>
    <t>Rollback Decision Made</t>
  </si>
  <si>
    <t>Rollback if required</t>
  </si>
  <si>
    <t>SOP082_Rollback_If_Required_SOP.docx</t>
  </si>
  <si>
    <t>Application Testing</t>
  </si>
  <si>
    <t>System Integration Testing (SIT)</t>
  </si>
  <si>
    <t>SOP094 System Integration Testing (SIT) - SOP</t>
  </si>
  <si>
    <t>Review &amp; Approval (TG2)</t>
  </si>
  <si>
    <t>Regression Testing/ UAT</t>
  </si>
  <si>
    <t>SOP095 Regression or UAT Testing</t>
  </si>
  <si>
    <t>Cutover and Hand-Off ​(Cutover for Production only)</t>
  </si>
  <si>
    <t>Post cutover – Change Management and communication (TG3) (service owners)​</t>
  </si>
  <si>
    <t>SOP097-Post cutover - Change Management and Communications - Service Owners (TG3)-SOP</t>
  </si>
  <si>
    <t>Cutover and Hand-Off (Cutover for Production only)</t>
  </si>
  <si>
    <t>KT Sessions ( 2 1-hour sessions)​</t>
  </si>
  <si>
    <t>Final DNS Cleanup (Servers and VIPs)</t>
  </si>
  <si>
    <t>Hypercare</t>
  </si>
  <si>
    <t xml:space="preserve"> Hypercare Technical Support</t>
  </si>
  <si>
    <t>AWS Migration Build Template - One Source For Engineering</t>
  </si>
  <si>
    <t>ONESOURCE FOR ENGINEERING 8.0 QA</t>
  </si>
  <si>
    <t>ASN0000981</t>
  </si>
  <si>
    <t>QA</t>
  </si>
  <si>
    <t>Identify the owners – Business, Technical, and Site/ Run/ Service Owners​ / AWS account</t>
  </si>
  <si>
    <t>Done</t>
  </si>
  <si>
    <t>Vikesh</t>
  </si>
  <si>
    <t>Mutthu</t>
  </si>
  <si>
    <t>Done for Non Prod AERO
Pending for Non Prod New Honeywell</t>
  </si>
  <si>
    <t>Aero Non Prod EC2 has been configured
HW , once LZ is done then RFC will be rasied for EC2</t>
  </si>
  <si>
    <t>Check with Ravif for Prod Code Freeze Dates</t>
  </si>
  <si>
    <t>WIP</t>
  </si>
  <si>
    <t>Vikesh, and Srikanth check</t>
  </si>
  <si>
    <t>Jason/ Abhi/ Vikesh</t>
  </si>
  <si>
    <t>Who will give the name of AD groups which need to be created, and check with Jan Horky and Vikesh</t>
  </si>
  <si>
    <t>to be started</t>
  </si>
  <si>
    <t>Not Applicable</t>
  </si>
  <si>
    <t>Jason to share update received from DB team Tanaji/ Rutuja
Not started , in discussion phase</t>
  </si>
  <si>
    <t>Check QA to QA or Prod to QA check with Jan Horky
DB Team can start with Non Prod Aero right away</t>
  </si>
  <si>
    <t>SSM is done
VPC endpoints Not Applicable</t>
  </si>
  <si>
    <t>to be started, can be done in parallel
Infra - App Factory Cloud Team
App related- App Execution needs to get in touch with App owner</t>
  </si>
  <si>
    <t>WIP by App Factory Cloud Team</t>
  </si>
  <si>
    <t>one
any IaaS Not Applicable</t>
  </si>
  <si>
    <t>one
any Service Not Spplicable</t>
  </si>
  <si>
    <t>Rbne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</si>
</sst>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Calibri"/>
      <family val="2"/>
      <scheme val="minor"/>
    </font>
    <font>
      <sz val="11"/>
      <color theme="1"/>
      <name val="Calibri"/>
      <scheme val="minor"/>
    </font>
    <font>
      <u/>
      <sz val="11"/>
      <color theme="10"/>
      <name val="Calibri"/>
      <family val="2"/>
      <scheme val="minor"/>
    </font>
    <font>
      <b/>
      <u/>
      <sz val="12"/>
      <color rgb="FFFFFFFF"/>
      <name val="Calibri"/>
      <scheme val="minor"/>
    </font>
    <font>
      <b/>
      <sz val="12"/>
      <color rgb="FFFFFFFF"/>
      <name val="Calibri"/>
      <scheme val="minor"/>
    </font>
    <font>
      <b/>
      <sz val="12"/>
      <color rgb="FF000000"/>
      <name val="Calibri"/>
      <scheme val="minor"/>
    </font>
    <font>
      <sz val="12"/>
      <color rgb="FF000000"/>
      <name val="Calibri"/>
      <scheme val="minor"/>
    </font>
    <font>
      <sz val="11"/>
      <color rgb="FF242424"/>
      <name val="Calibri"/>
      <scheme val="minor"/>
    </font>
    <font>
      <sz val="10"/>
      <color rgb="FF000000"/>
      <name val="Calibri"/>
      <scheme val="minor"/>
    </font>
    <font>
      <b/>
      <sz val="11"/>
      <color rgb="FF000000"/>
      <name val="Calibri"/>
      <scheme val="minor"/>
    </font>
    <font>
      <sz val="11"/>
      <color rgb="FF000000"/>
      <name val="Calibri"/>
      <scheme val="minor"/>
    </font>
    <font>
      <u/>
      <sz val="11"/>
      <color theme="10"/>
      <name val="Calibri"/>
      <scheme val="minor"/>
    </font>
    <font>
      <b/>
      <sz val="12"/>
      <color rgb="FF000000"/>
      <name val="Aptos Narrow"/>
      <family val="2"/>
    </font>
    <font>
      <sz val="12"/>
      <color rgb="FF000000"/>
      <name val="Aptos Narrow"/>
      <family val="2"/>
    </font>
    <font>
      <b/>
      <sz val="12"/>
      <color rgb="FF000000"/>
      <name val="Aptos Narrow"/>
    </font>
    <font>
      <sz val="12"/>
      <color rgb="FF000000"/>
      <name val="Aptos Narrow"/>
    </font>
    <font>
      <sz val="12"/>
      <color rgb="FFFF0000"/>
      <name val="Calibri"/>
      <scheme val="minor"/>
    </font>
    <font>
      <sz val="11"/>
      <color rgb="FF242424"/>
      <name val="Aptos Narrow"/>
      <charset val="1"/>
    </font>
    <font>
      <sz val="11"/>
      <color rgb="FF9C5700"/>
      <name val="Calibri"/>
      <family val="2"/>
      <scheme val="minor"/>
    </font>
    <font>
      <b/>
      <sz val="12"/>
      <color rgb="FF000000"/>
      <name val="Calibri"/>
      <family val="2"/>
      <scheme val="minor"/>
    </font>
  </fonts>
  <fills count="8">
    <fill>
      <patternFill patternType="none"/>
    </fill>
    <fill>
      <patternFill patternType="gray125"/>
    </fill>
    <fill>
      <patternFill patternType="solid">
        <fgColor rgb="FF0070C0"/>
        <bgColor rgb="FF000000"/>
      </patternFill>
    </fill>
    <fill>
      <patternFill patternType="solid">
        <fgColor rgb="FF808080"/>
        <bgColor rgb="FF000000"/>
      </patternFill>
    </fill>
    <fill>
      <patternFill patternType="solid">
        <fgColor rgb="FFF1A983"/>
        <bgColor rgb="FF000000"/>
      </patternFill>
    </fill>
    <fill>
      <patternFill patternType="solid">
        <fgColor theme="0"/>
        <bgColor indexed="64"/>
      </patternFill>
    </fill>
    <fill>
      <patternFill patternType="solid">
        <fgColor rgb="FFFFFF00"/>
        <bgColor rgb="FF000000"/>
      </patternFill>
    </fill>
    <fill>
      <patternFill patternType="solid">
        <fgColor rgb="FFFFEB9C"/>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style="thin">
        <color indexed="64"/>
      </right>
      <top/>
      <bottom/>
      <diagonal/>
    </border>
    <border>
      <left/>
      <right style="thin">
        <color indexed="64"/>
      </right>
      <top/>
      <bottom/>
      <diagonal/>
    </border>
    <border>
      <left style="medium">
        <color rgb="FF000000"/>
      </left>
      <right style="thin">
        <color indexed="64"/>
      </right>
      <top style="medium">
        <color rgb="FF000000"/>
      </top>
      <bottom/>
      <diagonal/>
    </border>
    <border>
      <left/>
      <right style="thin">
        <color indexed="64"/>
      </right>
      <top style="medium">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medium">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18" fillId="7" borderId="0" applyNumberFormat="0" applyBorder="0" applyAlignment="0" applyProtection="0"/>
  </cellStyleXfs>
  <cellXfs count="54">
    <xf numFmtId="0" fontId="0" fillId="0" borderId="0" xfId="0"/>
    <xf numFmtId="0" fontId="3" fillId="2" borderId="1" xfId="0" applyFont="1" applyFill="1" applyBorder="1" applyAlignment="1">
      <alignment vertical="top"/>
    </xf>
    <xf numFmtId="0" fontId="3" fillId="2" borderId="2" xfId="0" applyFont="1" applyFill="1" applyBorder="1" applyAlignment="1">
      <alignment vertical="top"/>
    </xf>
    <xf numFmtId="0" fontId="3" fillId="2" borderId="2" xfId="0" applyFont="1" applyFill="1" applyBorder="1" applyAlignment="1">
      <alignment vertical="top" wrapText="1"/>
    </xf>
    <xf numFmtId="0" fontId="3" fillId="2" borderId="3" xfId="0" applyFont="1" applyFill="1" applyBorder="1" applyAlignment="1">
      <alignment vertical="top"/>
    </xf>
    <xf numFmtId="0" fontId="4" fillId="3" borderId="4" xfId="0" applyFont="1" applyFill="1" applyBorder="1" applyAlignment="1">
      <alignment vertical="top"/>
    </xf>
    <xf numFmtId="0" fontId="5" fillId="4" borderId="5" xfId="0" applyFont="1" applyFill="1" applyBorder="1" applyAlignment="1">
      <alignment horizontal="center" vertical="top"/>
    </xf>
    <xf numFmtId="0" fontId="5" fillId="4" borderId="5" xfId="0" applyFont="1" applyFill="1" applyBorder="1" applyAlignment="1">
      <alignment vertical="top" wrapText="1"/>
    </xf>
    <xf numFmtId="0" fontId="6" fillId="0" borderId="5" xfId="0" applyFont="1" applyBorder="1" applyAlignment="1">
      <alignment vertical="top"/>
    </xf>
    <xf numFmtId="0" fontId="7" fillId="5" borderId="6" xfId="0" applyFont="1" applyFill="1" applyBorder="1"/>
    <xf numFmtId="0" fontId="8" fillId="0" borderId="0" xfId="0" applyFont="1"/>
    <xf numFmtId="0" fontId="6" fillId="0" borderId="5" xfId="0" applyFont="1" applyBorder="1" applyAlignment="1">
      <alignment vertical="top" wrapText="1"/>
    </xf>
    <xf numFmtId="0" fontId="4" fillId="3" borderId="7" xfId="0" applyFont="1" applyFill="1" applyBorder="1" applyAlignment="1">
      <alignment vertical="top"/>
    </xf>
    <xf numFmtId="0" fontId="5" fillId="4" borderId="8" xfId="0" applyFont="1" applyFill="1" applyBorder="1" applyAlignment="1">
      <alignment horizontal="center" vertical="top"/>
    </xf>
    <xf numFmtId="0" fontId="6" fillId="0" borderId="8" xfId="0" applyFont="1" applyBorder="1" applyAlignment="1">
      <alignment vertical="top" wrapText="1"/>
    </xf>
    <xf numFmtId="0" fontId="5" fillId="4" borderId="8" xfId="0" applyFont="1" applyFill="1" applyBorder="1" applyAlignment="1">
      <alignment vertical="top" wrapText="1"/>
    </xf>
    <xf numFmtId="0" fontId="6" fillId="0" borderId="8" xfId="0" applyFont="1" applyBorder="1" applyAlignment="1">
      <alignment vertical="top"/>
    </xf>
    <xf numFmtId="0" fontId="5" fillId="6" borderId="9" xfId="0" applyFont="1" applyFill="1" applyBorder="1" applyAlignment="1">
      <alignment horizontal="center" vertical="top" wrapText="1"/>
    </xf>
    <xf numFmtId="0" fontId="5" fillId="6" borderId="10" xfId="0" applyFont="1" applyFill="1" applyBorder="1" applyAlignment="1">
      <alignment horizontal="center" vertical="top" wrapText="1"/>
    </xf>
    <xf numFmtId="0" fontId="9" fillId="0" borderId="12" xfId="0" applyFont="1"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xf>
    <xf numFmtId="0" fontId="9" fillId="0" borderId="17" xfId="0" applyFont="1" applyBorder="1" applyAlignment="1">
      <alignment horizontal="left" vertical="top"/>
    </xf>
    <xf numFmtId="164" fontId="9" fillId="0" borderId="11" xfId="0" applyNumberFormat="1" applyFont="1" applyBorder="1" applyAlignment="1">
      <alignment horizontal="left" vertical="top"/>
    </xf>
    <xf numFmtId="0" fontId="10" fillId="0" borderId="12" xfId="0" applyFont="1" applyBorder="1" applyAlignment="1">
      <alignment horizontal="left" vertical="top" wrapText="1"/>
    </xf>
    <xf numFmtId="0" fontId="11" fillId="0" borderId="12" xfId="1" applyFont="1" applyFill="1" applyBorder="1" applyAlignment="1">
      <alignment horizontal="left" vertical="top"/>
    </xf>
    <xf numFmtId="0" fontId="9" fillId="0" borderId="13" xfId="0" applyFont="1" applyBorder="1" applyAlignment="1">
      <alignment horizontal="left" vertical="top"/>
    </xf>
    <xf numFmtId="0" fontId="10" fillId="0" borderId="0" xfId="0" applyFont="1" applyAlignment="1">
      <alignment horizontal="left" vertical="top" wrapText="1"/>
    </xf>
    <xf numFmtId="0" fontId="2" fillId="0" borderId="0" xfId="1" applyFill="1" applyBorder="1" applyAlignment="1">
      <alignment horizontal="left" vertical="top"/>
    </xf>
    <xf numFmtId="0" fontId="2" fillId="0" borderId="14" xfId="1" applyFill="1" applyBorder="1" applyAlignment="1">
      <alignment horizontal="left" vertical="top"/>
    </xf>
    <xf numFmtId="164" fontId="9" fillId="0" borderId="13" xfId="0" applyNumberFormat="1" applyFont="1" applyBorder="1" applyAlignment="1">
      <alignment horizontal="left" vertical="top"/>
    </xf>
    <xf numFmtId="0" fontId="11" fillId="0" borderId="14" xfId="1" applyFont="1" applyFill="1" applyBorder="1" applyAlignment="1">
      <alignment horizontal="left" vertical="top"/>
    </xf>
    <xf numFmtId="0" fontId="12" fillId="0" borderId="0" xfId="0" applyFont="1" applyAlignment="1">
      <alignment horizontal="left" vertical="top" wrapText="1"/>
    </xf>
    <xf numFmtId="0" fontId="13" fillId="0" borderId="0" xfId="0" applyFont="1" applyAlignment="1">
      <alignment horizontal="left" vertical="top" wrapText="1"/>
    </xf>
    <xf numFmtId="0" fontId="14" fillId="0" borderId="15" xfId="0" applyFont="1" applyBorder="1" applyAlignment="1">
      <alignment horizontal="left" vertical="top"/>
    </xf>
    <xf numFmtId="0" fontId="14" fillId="0" borderId="0" xfId="0" applyFont="1" applyAlignment="1">
      <alignment horizontal="left" vertical="top" wrapText="1"/>
    </xf>
    <xf numFmtId="0" fontId="15" fillId="0" borderId="0" xfId="0" applyFont="1" applyAlignment="1">
      <alignment horizontal="left" vertical="top" wrapText="1"/>
    </xf>
    <xf numFmtId="0" fontId="2" fillId="0" borderId="0" xfId="1" applyAlignment="1">
      <alignment horizontal="left" vertical="top"/>
    </xf>
    <xf numFmtId="0" fontId="6" fillId="0" borderId="14" xfId="0" applyFont="1" applyBorder="1" applyAlignment="1">
      <alignment horizontal="left" vertical="top"/>
    </xf>
    <xf numFmtId="0" fontId="5" fillId="0" borderId="14" xfId="0" applyFont="1" applyBorder="1" applyAlignment="1">
      <alignment horizontal="left" vertical="top"/>
    </xf>
    <xf numFmtId="0" fontId="16" fillId="0" borderId="14" xfId="0" applyFont="1" applyBorder="1" applyAlignment="1">
      <alignment horizontal="left" vertical="top"/>
    </xf>
    <xf numFmtId="0" fontId="11" fillId="0" borderId="14" xfId="1" applyFont="1" applyFill="1" applyBorder="1" applyAlignment="1">
      <alignment horizontal="left" vertical="top" wrapText="1"/>
    </xf>
    <xf numFmtId="164" fontId="9" fillId="0" borderId="16" xfId="0" applyNumberFormat="1" applyFont="1" applyBorder="1" applyAlignment="1">
      <alignment horizontal="left" vertical="top"/>
    </xf>
    <xf numFmtId="0" fontId="10" fillId="0" borderId="17" xfId="0" applyFont="1" applyBorder="1" applyAlignment="1">
      <alignment horizontal="left" vertical="top" wrapText="1"/>
    </xf>
    <xf numFmtId="0" fontId="11" fillId="0" borderId="18" xfId="1" applyFont="1" applyFill="1" applyBorder="1" applyAlignment="1">
      <alignment horizontal="left" vertical="top"/>
    </xf>
    <xf numFmtId="0" fontId="17" fillId="0" borderId="0" xfId="0" applyFont="1"/>
    <xf numFmtId="1" fontId="17" fillId="0" borderId="0" xfId="0" applyNumberFormat="1" applyFont="1" applyAlignment="1">
      <alignment horizontal="left"/>
    </xf>
    <xf numFmtId="0" fontId="19" fillId="6" borderId="19" xfId="0" applyFont="1" applyFill="1" applyBorder="1" applyAlignment="1">
      <alignment horizontal="center" vertical="top" wrapText="1"/>
    </xf>
    <xf numFmtId="0" fontId="18" fillId="7" borderId="0" xfId="2" applyBorder="1" applyAlignment="1">
      <alignment horizontal="left" vertical="top" wrapText="1"/>
    </xf>
    <xf numFmtId="0" fontId="0" fillId="0" borderId="0" xfId="0" applyAlignment="1">
      <alignment wrapText="1"/>
    </xf>
    <xf numFmtId="0" fontId="1" fillId="0" borderId="6" xfId="0" applyFont="1" applyBorder="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top"/>
    </xf>
    <xf numFmtId="0" fontId="1" fillId="0" borderId="14" xfId="0" applyFont="1" applyBorder="1" applyAlignment="1">
      <alignment horizontal="left" vertical="top"/>
    </xf>
  </cellXfs>
  <cellStyles count="3">
    <cellStyle name="Hyperlink" xfId="1" builtinId="8"/>
    <cellStyle name="Neutral" xfId="2" builtinId="28"/>
    <cellStyle name="Normal" xfId="0" builtinId="0"/>
  </cellStyles>
  <dxfs count="4">
    <dxf>
      <font>
        <color theme="2" tint="-0.499984740745262"/>
      </font>
      <fill>
        <patternFill>
          <bgColor theme="0" tint="-0.24994659260841701"/>
        </patternFill>
      </fill>
    </dxf>
    <dxf>
      <font>
        <color rgb="FF9C0006"/>
      </font>
      <fill>
        <patternFill>
          <bgColor rgb="FFFFC7CE"/>
        </patternFill>
      </fill>
    </dxf>
    <dxf>
      <font>
        <color theme="2" tint="-0.499984740745262"/>
      </font>
      <fill>
        <patternFill>
          <bgColor theme="0" tint="-0.24994659260841701"/>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w:/r/teams/ProjectWinter2/Shared%20Documents/Execution/04.%20Workstream%20Teams/04%20-%20IT/App%20factory_route/App%20Factory%20Working%20Folder/Migration%20Patterns%20SOP/Migration%20Runbook/%5bSOP094%5d%20System%20Integration%20Testing%20(SIT)%20-%20SOP.docx?d=wf97f2f8a79d54ba7ad84a48d32ca6b39&amp;csf=1&amp;web=1&amp;e=s5wdnf" TargetMode="External"/><Relationship Id="rId13" Type="http://schemas.openxmlformats.org/officeDocument/2006/relationships/hyperlink" Target="../../../../../../../../../../../:w:/r/teams/ProjectWinter2/_layouts/15/Doc.aspx?sourcedoc=%7B9c792953-338d-4d42-b36f-e6c7cea80f57%7D&amp;action=edit&amp;uid=%7B9C792953-338D-4D42-B36F-E6C7CEA80F57%7D&amp;ListItemId=21556&amp;ListId=%2Fteams%2FProjectWinter2%2FShared%20Documents&amp;odsp=1&amp;env=prod" TargetMode="External"/><Relationship Id="rId18" Type="http://schemas.openxmlformats.org/officeDocument/2006/relationships/hyperlink" Target="../../../../../../../../../../../../../../:w:/r/teams/ProjectWinter2/Shared%20Documents/Execution/04.%20Workstream%20Teams/04%20-%20IT/App%20factory_route/App%20Factory%20Working%20Folder/Migration%20Patterns%20SOP/Migration%20Runbook/Cloud%20-%20AWS%20-%20VPC%20Endpoints%20%26%20SSM%20Setup.docx?d=wfbf32a9dabf84a4784ace880ee50fec1&amp;csf=1&amp;web=1&amp;e=0xfmbR" TargetMode="External"/><Relationship Id="rId3" Type="http://schemas.openxmlformats.org/officeDocument/2006/relationships/hyperlink" Target="../../../../../../../../../../../:w:/r/teams/ProjectWinter2/_layouts/15/Doc.aspx?sourcedoc=%7B69200c2b-bd91-4f4a-9309-a5ad38dd110d%7D&amp;action=edit&amp;wdPreviousSession=1b39dae8-2acf-e9a8-4ae2-6eafcc7fd88a" TargetMode="External"/><Relationship Id="rId21" Type="http://schemas.openxmlformats.org/officeDocument/2006/relationships/hyperlink" Target="../../../../../../../../../../../../../../:w:/r/teams/ProjectWinter2/Shared%20Documents/Execution/04.%20Workstream%20Teams/04%20-%20IT/App%20factory_route/App%20Factory%20Working%20Folder/Migration%20Patterns%20SOP/Migration%20Runbook/Cloud%20-%20AWS%20-%20Test%20Access%20to%20HON%20and%20AERO.docx?d=wa268706cef02476d9de368479f9f31a6&amp;csf=1&amp;web=1&amp;e=FbNdRq" TargetMode="External"/><Relationship Id="rId7" Type="http://schemas.openxmlformats.org/officeDocument/2006/relationships/hyperlink" Target="../../../../../../../../../../../:w:/r/teams/ProjectWinter2/Shared%20Documents/Execution/04.%20Workstream%20Teams/04%20-%20IT/App%20factory_route/App%20Factory%20Working%20Folder/Migration%20Patterns%20SOP/Migration%20Runbook/SOP069-Application%20Configuration.docx?d=w69c9b25e75bc44199dcccc6317cf47c2&amp;csf=1&amp;web=1&amp;e=ceeyxS" TargetMode="External"/><Relationship Id="rId12" Type="http://schemas.openxmlformats.org/officeDocument/2006/relationships/hyperlink" Target="../../../../../../../../../../../:w:/r/teams/ProjectWinter2/Shared%20Documents/Execution/04.%20Workstream%20Teams/04%20-%20IT/App%20factory_route/App%20Factory%20Working%20Folder/Migration%20Patterns%20SOP/Migration%20Runbook/Cloud%20-%20AWS%20-%20Essential%20-%20Cloudformation%20IaC%20Generator.docx?d=w285988909e264c28b20eb4d01f1a08e5&amp;csf=1&amp;web=1&amp;e=hJWdkr" TargetMode="External"/><Relationship Id="rId17" Type="http://schemas.openxmlformats.org/officeDocument/2006/relationships/hyperlink" Target="../../../../../../../../../../../../../../:p:/r/teams/ProjectWinter2/Shared%20Documents/Execution/04.%20Workstream%20Teams/04%20-%20IT/Aero%20HGS%20Program/1.%20Planning%20and%20Analysis/IAM/PMO%20Deliverables/IAM%20Services%20Catalog/IAM%20Services%20Catalog.pptx?d=w6e50d64c6a6d4754b24b9dffb17d3855&amp;csf=1&amp;web=1&amp;e=bnwUjE" TargetMode="External"/><Relationship Id="rId25" Type="http://schemas.openxmlformats.org/officeDocument/2006/relationships/hyperlink" Target="../../../../../../../../../../../../../../:w:/r/teams/ProjectWinter2/Shared%20Documents/Execution/04.%20Workstream%20Teams/04%20-%20IT/App%20factory_route/App%20Factory%20Working%20Folder/Migration%20Patterns%20SOP/Migration%20Runbook/Cloud%20-%20AWS%20-%20Essential%20-%20Create%20an%20AWS%20Landing%20Zone.docx?d=w69e885bd3760410e84f92abc6e462150&amp;csf=1&amp;web=1&amp;e=zKoj8x" TargetMode="External"/><Relationship Id="rId2" Type="http://schemas.openxmlformats.org/officeDocument/2006/relationships/hyperlink" Target="../../../../../../../../../../../:w:/r/teams/ProjectWinter2/Shared%20Documents/Execution/04.%20Workstream%20Teams/04%20-%20IT/App%20factory_route/App%20Factory%20Working%20Folder/Migration%20Patterns%20SOP/Migration%20Runbook/SOP078%20-%20Complete%20Post-Migration%20Checklist%20(Post-Build)-SOP.docx?d=w0e9bd5caca9d4335aa0bd3e2827b338f&amp;csf=1&amp;web=1&amp;e=Pbc30F" TargetMode="External"/><Relationship Id="rId16" Type="http://schemas.openxmlformats.org/officeDocument/2006/relationships/hyperlink" Target="../../../../../../../../../../../../../../:w:/r/teams/ProjectWinter2/Shared%20Documents/Execution/04.%20Workstream%20Teams/04%20-%20IT/App%20factory_route/App%20Factory%20Working%20Folder/Migration%20Patterns%20SOP/Migration%20Runbook/Cloud%20-%20AWS%20-%20Test%20Access%20to%20HON%20and%20AERO.docx?d=wa268706cef02476d9de368479f9f31a6&amp;csf=1&amp;web=1&amp;e=FbNdRq" TargetMode="External"/><Relationship Id="rId20" Type="http://schemas.openxmlformats.org/officeDocument/2006/relationships/hyperlink" Target="../../../../../../../../../../../../../../:w:/r/teams/ProjectWinter2/Shared%20Documents/Execution/04.%20Workstream%20Teams/04%20-%20IT/App%20factory_route/App%20Factory%20Working%20Folder/Migration%20Patterns%20SOP/Migration%20Runbook/Change%20Request%20Creation%20SOP.docx?d=we8fe023113a045099331b847044c223e&amp;csf=1&amp;web=1&amp;e=S6Z46V" TargetMode="External"/><Relationship Id="rId1" Type="http://schemas.openxmlformats.org/officeDocument/2006/relationships/hyperlink" Target="../../../../../../../../../../../:w:/r/teams/ProjectWinter2/Shared%20Documents/Execution/04.%20Workstream%20Teams/04%20-%20IT/App%20factory_route/App%20Factory%20Working%20Folder/Migration%20Patterns%20SOP/Migration%20Runbook/SOP082_Rollback_If_Required_SOP.docx?d=w988002415cb64b36991b4ab2f4e4d2d8&amp;csf=1&amp;web=1&amp;e=2TdKHP" TargetMode="External"/><Relationship Id="rId6" Type="http://schemas.openxmlformats.org/officeDocument/2006/relationships/hyperlink" Target="../../../../../../../../../../../:w:/r/teams/ProjectWinter2/_layouts/15/Doc.aspx?sourcedoc=%7B522affa3-e9cb-4ca3-8e62-8ff304cdf895%7D&amp;action=edit&amp;uid=%7B522AFFA3-E9CB-4CA3-8E62-8FF304CDF895%7D&amp;ListItemId=21995&amp;ListId=%2Fteams%2FProjectWinter2%2FShared%20Documents&amp;odsp=1&amp;env=prod" TargetMode="External"/><Relationship Id="rId11" Type="http://schemas.openxmlformats.org/officeDocument/2006/relationships/hyperlink" Target="../../../../../../../../../../../:w:/r/teams/ProjectWinter2/Shared%20Documents/Execution/04.%20Workstream%20Teams/04%20-%20IT/App%20factory_route/App%20Factory%20Working%20Folder/Migration%20Patterns%20SOP/Migration%20Runbook/SOP104%20Hypercare%20Technical%20Support.docx?d=w7583039554354a16b102ac9af4db6cde&amp;csf=1&amp;web=1&amp;e=DCZZ8G" TargetMode="External"/><Relationship Id="rId24" Type="http://schemas.openxmlformats.org/officeDocument/2006/relationships/hyperlink" Target="../../../../../../../../../../../../../../:w:/r/teams/ProjectWinter2/Shared%20Documents/Execution/04.%20Workstream%20Teams/04%20-%20IT/App%20factory_route/App%20Factory%20Working%20Folder/Migration%20Patterns%20SOP/Migration%20Runbook/SOP%20-%20IT%20Direct%20Process%20-%20BAN_ASN%20Create-Update.docx?d=w9399414164c840d78caf0c508118a3b5&amp;csf=1&amp;web=1&amp;e=GF9rNu" TargetMode="External"/><Relationship Id="rId5" Type="http://schemas.openxmlformats.org/officeDocument/2006/relationships/hyperlink" Target="../../../../../../../../../../../:w:/r/teams/ProjectWinter2/_layouts/15/Doc.aspx?sourcedoc=%7B522affa3-e9cb-4ca3-8e62-8ff304cdf895%7D&amp;action=edit&amp;uid=%7B522AFFA3-E9CB-4CA3-8E62-8FF304CDF895%7D&amp;ListItemId=21995&amp;ListId=%2Fteams%2FProjectWinter2%2FShared%20Documents&amp;odsp=1&amp;env=prod" TargetMode="External"/><Relationship Id="rId15" Type="http://schemas.openxmlformats.org/officeDocument/2006/relationships/hyperlink" Target="../../../../../../../../../../../../../../:x:/r/teams/ProjectWinter2/Shared%20Documents/Execution/04.%20Workstream%20Teams/04%20-%20IT/App%20factory_route/US%20Pod%20Execution/Migration%20Pattern%20Mapping%20Sheets/Pattern%205%20-%20Cloud%20Builds%20-%20Resource%20Tracker.xlsx?d=weac46504ca6b4b2280c4a7d011edb8ac&amp;csf=1&amp;web=1&amp;e=r5iLtC" TargetMode="External"/><Relationship Id="rId23" Type="http://schemas.openxmlformats.org/officeDocument/2006/relationships/hyperlink" Target="../../../../../../../../../../../../../../:w:/r/teams/ProjectWinter2/Shared%20Documents/Execution/04.%20Workstream%20Teams/04%20-%20IT/App%20factory_route/App%20Factory%20Working%20Folder/Migration%20Patterns%20SOP/Migration%20Runbook/Cloud%20-%20AWS%20-%20IAM%20Discovery.docx?d=wc106c1dde8e146e583def7eff210d9cf&amp;csf=1&amp;web=1&amp;e=nOakZd" TargetMode="External"/><Relationship Id="rId10" Type="http://schemas.openxmlformats.org/officeDocument/2006/relationships/hyperlink" Target="../../../../../../../../../../../:w:/r/teams/ProjectWinter2/_layouts/15/Doc.aspx?sourcedoc=%7B1A93947E-0AA0-427E-8575-81D714B9AECB%7D&amp;file=SOP097-Post%20cutover%20-%20Change%20Management%20and%20Communciations%20-%20Service%20Owners%20(TG3)-SOP.docx&amp;action=default&amp;mobileredirect=true" TargetMode="External"/><Relationship Id="rId19" Type="http://schemas.openxmlformats.org/officeDocument/2006/relationships/hyperlink" Target="../../../../../../../../../../../../../../:w:/r/teams/ProjectWinter2/Shared%20Documents/Execution/04.%20Workstream%20Teams/04%20-%20IT/App%20factory_route/App%20Factory%20Working%20Folder/Migration%20Patterns%20SOP/Migration%20Runbook/Cloud%20-%20AWS%20-%20Essential%20-%20Networking%20%26%20Firewall%20Requests.docx?d=w90dc3314bbea4f649c424caafc840250&amp;csf=1&amp;web=1&amp;e=It5VKF" TargetMode="External"/><Relationship Id="rId4" Type="http://schemas.openxmlformats.org/officeDocument/2006/relationships/hyperlink" Target="../../../../../../../../../../../:w:/r/teams/ProjectWinter2/Shared%20Documents/Execution/04.%20Workstream%20Teams/04%20-%20IT/App%20factory_route/App%20Factory%20Working%20Folder/Migration%20Patterns%20SOP/Migration%20Runbook/SOP074-Configure%20CICD%20Pipelines-SOP.docx?d=w9b060093ed974b95905f2ac709962aa0&amp;csf=1&amp;web=1&amp;e=CvdR1D" TargetMode="External"/><Relationship Id="rId9" Type="http://schemas.openxmlformats.org/officeDocument/2006/relationships/hyperlink" Target="../../../../../../../../../../../:w:/r/teams/ProjectWinter2/_layouts/15/Doc.aspx?sourcedoc=%7B8D4B29F2-5ED5-4E12-962B-1C08D9AE2586%7D&amp;file=SOP%20ID%20-%20REGRESSION%20TESTING-SOP.docx&amp;action=default&amp;mobileredirect=true" TargetMode="External"/><Relationship Id="rId14" Type="http://schemas.openxmlformats.org/officeDocument/2006/relationships/hyperlink" Target="../../../../../../../../../../../:w:/r/teams/ProjectWinter2/Shared%20Documents/Execution/04.%20Workstream%20Teams/04%20-%20IT/App%20factory_route/App%20Factory%20Working%20Folder/Migration%20Patterns%20SOP/Migration%20Runbook/SOP002%20-%20Identify%20the%20owners%20&#8211;%20Business,%20Technical,%20and%20Site%20or%20Run%20or%20Service%20Owners&#8203;%20-SOP1.docx?d=w74255c1af16840f19f13c9a44a66502e&amp;csf=1&amp;web=1&amp;e=hlIJND" TargetMode="External"/><Relationship Id="rId22" Type="http://schemas.openxmlformats.org/officeDocument/2006/relationships/hyperlink" Target="../../../../../../../../../../../../../../:w:/r/teams/ProjectWinter2/Shared%20Documents/Execution/04.%20Workstream%20Teams/04%20-%20IT/App%20factory_route/App%20Factory%20Working%20Folder/Migration%20Patterns%20SOP/Migration%20Runbook/Cloud%20-%20AWS%20-%20Essential%20-%20Create%20an%20AWS%20Landing%20Zone.docx?d=w69e885bd3760410e84f92abc6e462150&amp;csf=1&amp;web=1&amp;e=zKoj8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w:/r/teams/ProjectWinter2/Shared%20Documents/Execution/04.%20Workstream%20Teams/04%20-%20IT/App%20factory_route/App%20Factory%20Working%20Folder/Migration%20Patterns%20SOP/Migration%20Runbook/%5bSOP094%5d%20System%20Integration%20Testing%20(SIT)%20-%20SOP.docx?d=wf97f2f8a79d54ba7ad84a48d32ca6b39&amp;csf=1&amp;web=1&amp;e=s5wdnf" TargetMode="External"/><Relationship Id="rId13" Type="http://schemas.openxmlformats.org/officeDocument/2006/relationships/hyperlink" Target="../../../../../../../../../../../:w:/r/teams/ProjectWinter2/_layouts/15/Doc.aspx?sourcedoc=%7B9c792953-338d-4d42-b36f-e6c7cea80f57%7D&amp;action=edit&amp;uid=%7B9C792953-338D-4D42-B36F-E6C7CEA80F57%7D&amp;ListItemId=21556&amp;ListId=%2Fteams%2FProjectWinter2%2FShared%20Documents&amp;odsp=1&amp;env=prod" TargetMode="External"/><Relationship Id="rId18" Type="http://schemas.openxmlformats.org/officeDocument/2006/relationships/hyperlink" Target="../../../../../../../../../../../../../../:w:/r/teams/ProjectWinter2/Shared%20Documents/Execution/04.%20Workstream%20Teams/04%20-%20IT/App%20factory_route/App%20Factory%20Working%20Folder/Migration%20Patterns%20SOP/Migration%20Runbook/Cloud%20-%20AWS%20-%20VPC%20Endpoints%20%26%20SSM%20Setup.docx?d=wfbf32a9dabf84a4784ace880ee50fec1&amp;csf=1&amp;web=1&amp;e=0xfmbR" TargetMode="External"/><Relationship Id="rId3" Type="http://schemas.openxmlformats.org/officeDocument/2006/relationships/hyperlink" Target="../../../../../../../../../../../:w:/r/teams/ProjectWinter2/_layouts/15/Doc.aspx?sourcedoc=%7B69200c2b-bd91-4f4a-9309-a5ad38dd110d%7D&amp;action=edit&amp;wdPreviousSession=1b39dae8-2acf-e9a8-4ae2-6eafcc7fd88a" TargetMode="External"/><Relationship Id="rId21" Type="http://schemas.openxmlformats.org/officeDocument/2006/relationships/hyperlink" Target="../../../../../../../../../../../../../../:w:/r/teams/ProjectWinter2/Shared%20Documents/Execution/04.%20Workstream%20Teams/04%20-%20IT/App%20factory_route/App%20Factory%20Working%20Folder/Migration%20Patterns%20SOP/Migration%20Runbook/Cloud%20-%20AWS%20-%20Test%20Access%20to%20HON%20and%20AERO.docx?d=wa268706cef02476d9de368479f9f31a6&amp;csf=1&amp;web=1&amp;e=FbNdRq" TargetMode="External"/><Relationship Id="rId7" Type="http://schemas.openxmlformats.org/officeDocument/2006/relationships/hyperlink" Target="../../../../../../../../../../../:w:/r/teams/ProjectWinter2/Shared%20Documents/Execution/04.%20Workstream%20Teams/04%20-%20IT/App%20factory_route/App%20Factory%20Working%20Folder/Migration%20Patterns%20SOP/Migration%20Runbook/SOP069-Application%20Configuration.docx?d=w69c9b25e75bc44199dcccc6317cf47c2&amp;csf=1&amp;web=1&amp;e=ceeyxS" TargetMode="External"/><Relationship Id="rId12" Type="http://schemas.openxmlformats.org/officeDocument/2006/relationships/hyperlink" Target="../../../../../../../../../../../:w:/r/teams/ProjectWinter2/Shared%20Documents/Execution/04.%20Workstream%20Teams/04%20-%20IT/App%20factory_route/App%20Factory%20Working%20Folder/Migration%20Patterns%20SOP/Migration%20Runbook/Cloud%20-%20AWS%20-%20Essential%20-%20Cloudformation%20IaC%20Generator.docx?d=w285988909e264c28b20eb4d01f1a08e5&amp;csf=1&amp;web=1&amp;e=hJWdkr" TargetMode="External"/><Relationship Id="rId17" Type="http://schemas.openxmlformats.org/officeDocument/2006/relationships/hyperlink" Target="../../../../../../../../../../../../../../:p:/r/teams/ProjectWinter2/Shared%20Documents/Execution/04.%20Workstream%20Teams/04%20-%20IT/Aero%20HGS%20Program/1.%20Planning%20and%20Analysis/IAM/PMO%20Deliverables/IAM%20Services%20Catalog/IAM%20Services%20Catalog.pptx?d=w6e50d64c6a6d4754b24b9dffb17d3855&amp;csf=1&amp;web=1&amp;e=bnwUjE" TargetMode="External"/><Relationship Id="rId25" Type="http://schemas.openxmlformats.org/officeDocument/2006/relationships/hyperlink" Target="../../../../../../../../../../../../../../:w:/r/teams/ProjectWinter2/Shared%20Documents/Execution/04.%20Workstream%20Teams/04%20-%20IT/App%20factory_route/App%20Factory%20Working%20Folder/Migration%20Patterns%20SOP/Migration%20Runbook/Cloud%20-%20AWS%20-%20Essential%20-%20Create%20an%20AWS%20Landing%20Zone.docx?d=w69e885bd3760410e84f92abc6e462150&amp;csf=1&amp;web=1&amp;e=zKoj8x" TargetMode="External"/><Relationship Id="rId2" Type="http://schemas.openxmlformats.org/officeDocument/2006/relationships/hyperlink" Target="../../../../../../../../../../../:w:/r/teams/ProjectWinter2/Shared%20Documents/Execution/04.%20Workstream%20Teams/04%20-%20IT/App%20factory_route/App%20Factory%20Working%20Folder/Migration%20Patterns%20SOP/Migration%20Runbook/SOP078%20-%20Complete%20Post-Migration%20Checklist%20(Post-Build)-SOP.docx?d=w0e9bd5caca9d4335aa0bd3e2827b338f&amp;csf=1&amp;web=1&amp;e=Pbc30F" TargetMode="External"/><Relationship Id="rId16" Type="http://schemas.openxmlformats.org/officeDocument/2006/relationships/hyperlink" Target="../../../../../../../../../../../../../../:w:/r/teams/ProjectWinter2/Shared%20Documents/Execution/04.%20Workstream%20Teams/04%20-%20IT/App%20factory_route/App%20Factory%20Working%20Folder/Migration%20Patterns%20SOP/Migration%20Runbook/Cloud%20-%20AWS%20-%20Test%20Access%20to%20HON%20and%20AERO.docx?d=wa268706cef02476d9de368479f9f31a6&amp;csf=1&amp;web=1&amp;e=FbNdRq" TargetMode="External"/><Relationship Id="rId20" Type="http://schemas.openxmlformats.org/officeDocument/2006/relationships/hyperlink" Target="../../../../../../../../../../../../../../:w:/r/teams/ProjectWinter2/Shared%20Documents/Execution/04.%20Workstream%20Teams/04%20-%20IT/App%20factory_route/App%20Factory%20Working%20Folder/Migration%20Patterns%20SOP/Migration%20Runbook/Change%20Request%20Creation%20SOP.docx?d=we8fe023113a045099331b847044c223e&amp;csf=1&amp;web=1&amp;e=S6Z46V" TargetMode="External"/><Relationship Id="rId1" Type="http://schemas.openxmlformats.org/officeDocument/2006/relationships/hyperlink" Target="../../../../../../../../../../../:w:/r/teams/ProjectWinter2/Shared%20Documents/Execution/04.%20Workstream%20Teams/04%20-%20IT/App%20factory_route/App%20Factory%20Working%20Folder/Migration%20Patterns%20SOP/Migration%20Runbook/SOP082_Rollback_If_Required_SOP.docx?d=w988002415cb64b36991b4ab2f4e4d2d8&amp;csf=1&amp;web=1&amp;e=2TdKHP" TargetMode="External"/><Relationship Id="rId6" Type="http://schemas.openxmlformats.org/officeDocument/2006/relationships/hyperlink" Target="../../../../../../../../../../../:w:/r/teams/ProjectWinter2/_layouts/15/Doc.aspx?sourcedoc=%7B522affa3-e9cb-4ca3-8e62-8ff304cdf895%7D&amp;action=edit&amp;uid=%7B522AFFA3-E9CB-4CA3-8E62-8FF304CDF895%7D&amp;ListItemId=21995&amp;ListId=%2Fteams%2FProjectWinter2%2FShared%20Documents&amp;odsp=1&amp;env=prod" TargetMode="External"/><Relationship Id="rId11" Type="http://schemas.openxmlformats.org/officeDocument/2006/relationships/hyperlink" Target="../../../../../../../../../../../:w:/r/teams/ProjectWinter2/Shared%20Documents/Execution/04.%20Workstream%20Teams/04%20-%20IT/App%20factory_route/App%20Factory%20Working%20Folder/Migration%20Patterns%20SOP/Migration%20Runbook/SOP104%20Hypercare%20Technical%20Support.docx?d=w7583039554354a16b102ac9af4db6cde&amp;csf=1&amp;web=1&amp;e=DCZZ8G" TargetMode="External"/><Relationship Id="rId24" Type="http://schemas.openxmlformats.org/officeDocument/2006/relationships/hyperlink" Target="../../../../../../../../../../../../../../:w:/r/teams/ProjectWinter2/Shared%20Documents/Execution/04.%20Workstream%20Teams/04%20-%20IT/App%20factory_route/App%20Factory%20Working%20Folder/Migration%20Patterns%20SOP/Migration%20Runbook/SOP%20-%20IT%20Direct%20Process%20-%20BAN_ASN%20Create-Update.docx?d=w9399414164c840d78caf0c508118a3b5&amp;csf=1&amp;web=1&amp;e=GF9rNu" TargetMode="External"/><Relationship Id="rId5" Type="http://schemas.openxmlformats.org/officeDocument/2006/relationships/hyperlink" Target="../../../../../../../../../../../:w:/r/teams/ProjectWinter2/_layouts/15/Doc.aspx?sourcedoc=%7B522affa3-e9cb-4ca3-8e62-8ff304cdf895%7D&amp;action=edit&amp;uid=%7B522AFFA3-E9CB-4CA3-8E62-8FF304CDF895%7D&amp;ListItemId=21995&amp;ListId=%2Fteams%2FProjectWinter2%2FShared%20Documents&amp;odsp=1&amp;env=prod" TargetMode="External"/><Relationship Id="rId15" Type="http://schemas.openxmlformats.org/officeDocument/2006/relationships/hyperlink" Target="../../../../../../../../../../../../../../:x:/r/teams/ProjectWinter2/Shared%20Documents/Execution/04.%20Workstream%20Teams/04%20-%20IT/App%20factory_route/US%20Pod%20Execution/Migration%20Pattern%20Mapping%20Sheets/Pattern%205%20-%20Cloud%20Builds%20-%20Resource%20Tracker.xlsx?d=weac46504ca6b4b2280c4a7d011edb8ac&amp;csf=1&amp;web=1&amp;e=r5iLtC" TargetMode="External"/><Relationship Id="rId23" Type="http://schemas.openxmlformats.org/officeDocument/2006/relationships/hyperlink" Target="../../../../../../../../../../../../../../:w:/r/teams/ProjectWinter2/Shared%20Documents/Execution/04.%20Workstream%20Teams/04%20-%20IT/App%20factory_route/App%20Factory%20Working%20Folder/Migration%20Patterns%20SOP/Migration%20Runbook/Cloud%20-%20AWS%20-%20IAM%20Discovery.docx?d=wc106c1dde8e146e583def7eff210d9cf&amp;csf=1&amp;web=1&amp;e=nOakZd" TargetMode="External"/><Relationship Id="rId10" Type="http://schemas.openxmlformats.org/officeDocument/2006/relationships/hyperlink" Target="../../../../../../../../../../../:w:/r/teams/ProjectWinter2/_layouts/15/Doc.aspx?sourcedoc=%7B1A93947E-0AA0-427E-8575-81D714B9AECB%7D&amp;file=SOP097-Post%20cutover%20-%20Change%20Management%20and%20Communciations%20-%20Service%20Owners%20(TG3)-SOP.docx&amp;action=default&amp;mobileredirect=true" TargetMode="External"/><Relationship Id="rId19" Type="http://schemas.openxmlformats.org/officeDocument/2006/relationships/hyperlink" Target="../../../../../../../../../../../../../../:w:/r/teams/ProjectWinter2/Shared%20Documents/Execution/04.%20Workstream%20Teams/04%20-%20IT/App%20factory_route/App%20Factory%20Working%20Folder/Migration%20Patterns%20SOP/Migration%20Runbook/Cloud%20-%20AWS%20-%20Essential%20-%20Networking%20%26%20Firewall%20Requests.docx?d=w90dc3314bbea4f649c424caafc840250&amp;csf=1&amp;web=1&amp;e=It5VKF" TargetMode="External"/><Relationship Id="rId4" Type="http://schemas.openxmlformats.org/officeDocument/2006/relationships/hyperlink" Target="../../../../../../../../../../../:w:/r/teams/ProjectWinter2/Shared%20Documents/Execution/04.%20Workstream%20Teams/04%20-%20IT/App%20factory_route/App%20Factory%20Working%20Folder/Migration%20Patterns%20SOP/Migration%20Runbook/SOP074-Configure%20CICD%20Pipelines-SOP.docx?d=w9b060093ed974b95905f2ac709962aa0&amp;csf=1&amp;web=1&amp;e=CvdR1D" TargetMode="External"/><Relationship Id="rId9" Type="http://schemas.openxmlformats.org/officeDocument/2006/relationships/hyperlink" Target="../../../../../../../../../../../:w:/r/teams/ProjectWinter2/_layouts/15/Doc.aspx?sourcedoc=%7B8D4B29F2-5ED5-4E12-962B-1C08D9AE2586%7D&amp;file=SOP%20ID%20-%20REGRESSION%20TESTING-SOP.docx&amp;action=default&amp;mobileredirect=true" TargetMode="External"/><Relationship Id="rId14" Type="http://schemas.openxmlformats.org/officeDocument/2006/relationships/hyperlink" Target="../../../../../../../../../../../:w:/r/teams/ProjectWinter2/Shared%20Documents/Execution/04.%20Workstream%20Teams/04%20-%20IT/App%20factory_route/App%20Factory%20Working%20Folder/Migration%20Patterns%20SOP/Migration%20Runbook/SOP002%20-%20Identify%20the%20owners%20&#8211;%20Business,%20Technical,%20and%20Site%20or%20Run%20or%20Service%20Owners&#8203;%20-SOP1.docx?d=w74255c1af16840f19f13c9a44a66502e&amp;csf=1&amp;web=1&amp;e=hlIJND" TargetMode="External"/><Relationship Id="rId22" Type="http://schemas.openxmlformats.org/officeDocument/2006/relationships/hyperlink" Target="../../../../../../../../../../../../../../:w:/r/teams/ProjectWinter2/Shared%20Documents/Execution/04.%20Workstream%20Teams/04%20-%20IT/App%20factory_route/App%20Factory%20Working%20Folder/Migration%20Patterns%20SOP/Migration%20Runbook/Cloud%20-%20AWS%20-%20Essential%20-%20Create%20an%20AWS%20Landing%20Zone.docx?d=w69e885bd3760410e84f92abc6e462150&amp;csf=1&amp;web=1&amp;e=zKoj8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topLeftCell="C1" zoomScale="85" zoomScaleNormal="85" workbookViewId="0">
      <selection activeCell="H10" sqref="H10"/>
    </sheetView>
  </sheetViews>
  <sheetFormatPr defaultRowHeight="14.45"/>
  <cols>
    <col min="1" max="1" width="11.5703125" customWidth="1"/>
    <col min="2" max="2" width="47.5703125" bestFit="1" customWidth="1"/>
    <col min="3" max="3" width="39.140625" customWidth="1"/>
    <col min="4" max="4" width="28.42578125" customWidth="1"/>
    <col min="5" max="5" width="35.5703125" bestFit="1" customWidth="1"/>
    <col min="6" max="6" width="84.42578125" bestFit="1" customWidth="1"/>
    <col min="7" max="7" width="16.85546875" customWidth="1"/>
  </cols>
  <sheetData>
    <row r="1" spans="1:8" ht="15.6">
      <c r="A1" s="1" t="s">
        <v>0</v>
      </c>
      <c r="B1" s="2"/>
      <c r="C1" s="3"/>
      <c r="D1" s="3"/>
      <c r="E1" s="3"/>
      <c r="F1" s="4"/>
      <c r="G1" s="4"/>
    </row>
    <row r="2" spans="1:8" ht="15.6">
      <c r="A2" s="5"/>
      <c r="B2" s="6" t="s">
        <v>1</v>
      </c>
      <c r="C2" s="50" t="s">
        <v>2</v>
      </c>
      <c r="D2" s="51"/>
      <c r="E2" s="7" t="s">
        <v>3</v>
      </c>
      <c r="F2" s="8"/>
      <c r="G2" s="8"/>
    </row>
    <row r="3" spans="1:8" ht="27" customHeight="1">
      <c r="A3" s="5"/>
      <c r="B3" s="6" t="s">
        <v>4</v>
      </c>
      <c r="C3" s="50" t="s">
        <v>5</v>
      </c>
      <c r="D3" s="51"/>
      <c r="E3" s="7" t="s">
        <v>6</v>
      </c>
      <c r="F3" s="8"/>
      <c r="G3" s="8"/>
    </row>
    <row r="4" spans="1:8" ht="21.75" customHeight="1">
      <c r="A4" s="5"/>
      <c r="B4" s="6" t="s">
        <v>7</v>
      </c>
      <c r="C4" s="45" t="s">
        <v>8</v>
      </c>
      <c r="D4" s="51"/>
      <c r="E4" s="7" t="s">
        <v>9</v>
      </c>
      <c r="F4" s="9" t="s">
        <v>10</v>
      </c>
      <c r="G4" s="9"/>
    </row>
    <row r="5" spans="1:8" ht="15.6">
      <c r="A5" s="5"/>
      <c r="B5" s="6" t="s">
        <v>11</v>
      </c>
      <c r="C5" s="45" t="s">
        <v>12</v>
      </c>
      <c r="D5" s="10"/>
      <c r="E5" s="7" t="s">
        <v>13</v>
      </c>
      <c r="F5" s="8"/>
      <c r="G5" s="8"/>
    </row>
    <row r="6" spans="1:8" ht="26.25" customHeight="1">
      <c r="A6" s="5"/>
      <c r="B6" s="6" t="s">
        <v>14</v>
      </c>
      <c r="C6" s="11" t="s">
        <v>15</v>
      </c>
      <c r="D6" s="11"/>
      <c r="E6" s="7" t="s">
        <v>16</v>
      </c>
      <c r="F6" s="8" t="s">
        <v>10</v>
      </c>
      <c r="G6" s="8"/>
    </row>
    <row r="7" spans="1:8" ht="15.6">
      <c r="A7" s="5"/>
      <c r="B7" s="6" t="s">
        <v>17</v>
      </c>
      <c r="C7" s="10" t="s">
        <v>18</v>
      </c>
      <c r="D7" s="10"/>
      <c r="E7" s="7" t="s">
        <v>19</v>
      </c>
      <c r="F7" s="8"/>
      <c r="G7" s="8"/>
    </row>
    <row r="8" spans="1:8" ht="18.75" customHeight="1">
      <c r="A8" s="12"/>
      <c r="B8" s="13" t="s">
        <v>20</v>
      </c>
      <c r="C8" s="14" t="s">
        <v>21</v>
      </c>
      <c r="D8" s="14"/>
      <c r="E8" s="15" t="s">
        <v>22</v>
      </c>
      <c r="F8" s="16"/>
      <c r="G8" s="16"/>
    </row>
    <row r="9" spans="1:8" ht="15.6">
      <c r="A9" s="17" t="s">
        <v>23</v>
      </c>
      <c r="B9" s="18" t="s">
        <v>24</v>
      </c>
      <c r="C9" s="18" t="s">
        <v>25</v>
      </c>
      <c r="D9" s="18"/>
      <c r="E9" s="18" t="s">
        <v>26</v>
      </c>
      <c r="F9" s="18" t="s">
        <v>27</v>
      </c>
      <c r="G9" s="18" t="s">
        <v>28</v>
      </c>
      <c r="H9" s="47" t="s">
        <v>29</v>
      </c>
    </row>
    <row r="10" spans="1:8" ht="86.45">
      <c r="A10" s="23">
        <v>1</v>
      </c>
      <c r="B10" s="19" t="s">
        <v>30</v>
      </c>
      <c r="C10" s="24" t="s">
        <v>31</v>
      </c>
      <c r="D10" s="24" t="str">
        <f>_xlfn.CONCAT(A10, " ", C10)</f>
        <v>1 jan</v>
      </c>
      <c r="E10" s="24" t="s">
        <v>32</v>
      </c>
      <c r="F10" s="25" t="s">
        <v>33</v>
      </c>
      <c r="G10" s="24" t="s">
        <v>34</v>
      </c>
    </row>
    <row r="11" spans="1:8" ht="86.45">
      <c r="A11" s="26">
        <v>1.1000000000000001</v>
      </c>
      <c r="B11" s="20" t="s">
        <v>30</v>
      </c>
      <c r="C11" s="27" t="s">
        <v>35</v>
      </c>
      <c r="D11" s="27" t="str">
        <f t="shared" ref="D11:D59" si="0">_xlfn.CONCAT(A11, " ", C11)</f>
        <v>1.1 Verify App Execution team has the proper access to source AWS account and AERO AWS</v>
      </c>
      <c r="E11" s="27" t="s">
        <v>36</v>
      </c>
      <c r="F11" s="28" t="s">
        <v>37</v>
      </c>
      <c r="G11" s="27" t="s">
        <v>34</v>
      </c>
    </row>
    <row r="12" spans="1:8" ht="72">
      <c r="A12" s="26">
        <v>1.2</v>
      </c>
      <c r="B12" s="20" t="s">
        <v>30</v>
      </c>
      <c r="C12" s="27" t="s">
        <v>38</v>
      </c>
      <c r="D12" s="27" t="str">
        <f t="shared" si="0"/>
        <v>1.2 Verify App Factory team has the proper access to source AWS account and AERO AWS</v>
      </c>
      <c r="E12" s="27" t="s">
        <v>39</v>
      </c>
      <c r="F12" s="29" t="s">
        <v>37</v>
      </c>
      <c r="G12" s="27" t="s">
        <v>40</v>
      </c>
    </row>
    <row r="13" spans="1:8" ht="86.45">
      <c r="A13" s="26">
        <v>1.3</v>
      </c>
      <c r="B13" s="20" t="s">
        <v>30</v>
      </c>
      <c r="C13" s="27" t="s">
        <v>41</v>
      </c>
      <c r="D13" s="27" t="str">
        <f t="shared" si="0"/>
        <v>1.3 Submit the Change Request</v>
      </c>
      <c r="E13" s="27" t="s">
        <v>42</v>
      </c>
      <c r="F13" s="29" t="s">
        <v>43</v>
      </c>
      <c r="G13" s="27" t="s">
        <v>34</v>
      </c>
    </row>
    <row r="14" spans="1:8" ht="43.15">
      <c r="A14" s="30">
        <v>1.4</v>
      </c>
      <c r="B14" s="20" t="s">
        <v>30</v>
      </c>
      <c r="C14" s="27" t="s">
        <v>44</v>
      </c>
      <c r="D14" s="27" t="str">
        <f t="shared" si="0"/>
        <v>1.4 Create an AERO/New Honeywell ASN</v>
      </c>
      <c r="E14" s="27" t="s">
        <v>45</v>
      </c>
      <c r="F14" s="31"/>
      <c r="G14" s="27" t="s">
        <v>34</v>
      </c>
    </row>
    <row r="15" spans="1:8" ht="78">
      <c r="A15" s="30">
        <v>1.5</v>
      </c>
      <c r="B15" s="32" t="s">
        <v>30</v>
      </c>
      <c r="C15" s="33" t="s">
        <v>46</v>
      </c>
      <c r="D15" s="27" t="str">
        <f t="shared" si="0"/>
        <v>1.5 Update ASN Disposition</v>
      </c>
      <c r="E15" s="33" t="s">
        <v>47</v>
      </c>
      <c r="F15" s="28" t="s">
        <v>48</v>
      </c>
      <c r="G15" s="27" t="s">
        <v>40</v>
      </c>
    </row>
    <row r="16" spans="1:8" ht="43.15">
      <c r="A16" s="26">
        <v>1.6</v>
      </c>
      <c r="B16" s="20" t="s">
        <v>30</v>
      </c>
      <c r="C16" s="27" t="s">
        <v>49</v>
      </c>
      <c r="D16" s="27" t="str">
        <f t="shared" si="0"/>
        <v>1.6 Gather Account Deployment Prerequisites</v>
      </c>
      <c r="E16" s="27" t="s">
        <v>50</v>
      </c>
      <c r="F16" s="29" t="s">
        <v>51</v>
      </c>
      <c r="G16" s="27" t="s">
        <v>34</v>
      </c>
    </row>
    <row r="17" spans="1:7" ht="43.15">
      <c r="A17" s="30">
        <v>1.7</v>
      </c>
      <c r="B17" s="20" t="s">
        <v>30</v>
      </c>
      <c r="C17" s="27" t="s">
        <v>52</v>
      </c>
      <c r="D17" s="27" t="str">
        <f t="shared" si="0"/>
        <v>1.7 AWS Account Setup (Landing Zone Creation)</v>
      </c>
      <c r="E17" s="27" t="s">
        <v>53</v>
      </c>
      <c r="F17" s="29" t="s">
        <v>51</v>
      </c>
      <c r="G17" s="27" t="s">
        <v>34</v>
      </c>
    </row>
    <row r="18" spans="1:7" ht="129.6">
      <c r="A18" s="26">
        <v>1.8</v>
      </c>
      <c r="B18" s="20" t="s">
        <v>30</v>
      </c>
      <c r="C18" s="27" t="s">
        <v>54</v>
      </c>
      <c r="D18" s="27" t="str">
        <f t="shared" si="0"/>
        <v>1.8 Complete the AWS resource tracker &amp; Open a teams chat (with app name) for this build</v>
      </c>
      <c r="E18" s="27" t="s">
        <v>55</v>
      </c>
      <c r="F18" s="31" t="s">
        <v>56</v>
      </c>
      <c r="G18" s="27" t="s">
        <v>57</v>
      </c>
    </row>
    <row r="19" spans="1:7" ht="93.6">
      <c r="A19" s="34">
        <v>1.9</v>
      </c>
      <c r="B19" s="35" t="s">
        <v>30</v>
      </c>
      <c r="C19" s="36" t="s">
        <v>41</v>
      </c>
      <c r="D19" s="27" t="str">
        <f t="shared" si="0"/>
        <v>1.9 Submit the Change Request</v>
      </c>
      <c r="E19" s="36" t="s">
        <v>42</v>
      </c>
      <c r="F19" s="37"/>
      <c r="G19" s="36"/>
    </row>
    <row r="20" spans="1:7" ht="43.15">
      <c r="A20" s="26">
        <v>2.1</v>
      </c>
      <c r="B20" s="20" t="s">
        <v>30</v>
      </c>
      <c r="C20" s="27" t="s">
        <v>58</v>
      </c>
      <c r="D20" s="27" t="str">
        <f t="shared" si="0"/>
        <v>2.1 Run CloudFormation IaC Generation for Discovery</v>
      </c>
      <c r="E20" s="27" t="s">
        <v>59</v>
      </c>
      <c r="F20" s="31" t="s">
        <v>60</v>
      </c>
      <c r="G20" s="27" t="s">
        <v>40</v>
      </c>
    </row>
    <row r="21" spans="1:7" ht="216">
      <c r="A21" s="26">
        <v>2.2000000000000002</v>
      </c>
      <c r="B21" s="20" t="s">
        <v>61</v>
      </c>
      <c r="C21" s="27" t="s">
        <v>62</v>
      </c>
      <c r="D21" s="27" t="str">
        <f t="shared" si="0"/>
        <v>2.2 Create any AERO AD groups and required certificates</v>
      </c>
      <c r="E21" s="27" t="s">
        <v>63</v>
      </c>
      <c r="F21" s="29" t="s">
        <v>64</v>
      </c>
      <c r="G21" s="27" t="s">
        <v>57</v>
      </c>
    </row>
    <row r="22" spans="1:7" ht="43.15">
      <c r="A22" s="30">
        <v>2.2999999999999998</v>
      </c>
      <c r="B22" s="20" t="s">
        <v>61</v>
      </c>
      <c r="C22" s="27" t="s">
        <v>65</v>
      </c>
      <c r="D22" s="27" t="str">
        <f t="shared" si="0"/>
        <v>2.3 Upload certificates to AWS certificate manager on target account (landing zone)</v>
      </c>
      <c r="E22" s="27" t="s">
        <v>66</v>
      </c>
      <c r="F22" s="29"/>
      <c r="G22" s="27" t="s">
        <v>40</v>
      </c>
    </row>
    <row r="23" spans="1:7" ht="172.9">
      <c r="A23" s="30">
        <v>3.1</v>
      </c>
      <c r="B23" s="20" t="s">
        <v>67</v>
      </c>
      <c r="C23" s="27" t="s">
        <v>68</v>
      </c>
      <c r="D23" s="27" t="str">
        <f t="shared" si="0"/>
        <v>3.1 IAM Permission Mirroring</v>
      </c>
      <c r="E23" s="27" t="s">
        <v>69</v>
      </c>
      <c r="F23" s="29" t="s">
        <v>70</v>
      </c>
      <c r="G23" s="27" t="s">
        <v>40</v>
      </c>
    </row>
    <row r="24" spans="1:7" ht="57.6">
      <c r="A24" s="30">
        <v>3.2</v>
      </c>
      <c r="B24" s="20" t="s">
        <v>67</v>
      </c>
      <c r="C24" s="27" t="s">
        <v>71</v>
      </c>
      <c r="D24" s="27" t="str">
        <f t="shared" si="0"/>
        <v>3.2 CI/CD Setup</v>
      </c>
      <c r="E24" s="27" t="s">
        <v>72</v>
      </c>
      <c r="F24" s="31"/>
      <c r="G24" s="27" t="s">
        <v>34</v>
      </c>
    </row>
    <row r="25" spans="1:7" ht="43.15">
      <c r="A25" s="30">
        <v>3.3</v>
      </c>
      <c r="B25" s="20" t="s">
        <v>67</v>
      </c>
      <c r="C25" s="27" t="s">
        <v>73</v>
      </c>
      <c r="D25" s="27" t="str">
        <f t="shared" si="0"/>
        <v>3.3 Database migration planning</v>
      </c>
      <c r="E25" s="27" t="s">
        <v>74</v>
      </c>
      <c r="F25" s="31"/>
      <c r="G25" s="27" t="s">
        <v>75</v>
      </c>
    </row>
    <row r="26" spans="1:7" ht="72">
      <c r="A26" s="30">
        <v>3.4</v>
      </c>
      <c r="B26" s="20" t="s">
        <v>67</v>
      </c>
      <c r="C26" s="27" t="s">
        <v>76</v>
      </c>
      <c r="D26" s="27" t="str">
        <f t="shared" si="0"/>
        <v>3.4 Deploy any VPC endpoints</v>
      </c>
      <c r="E26" s="27" t="s">
        <v>77</v>
      </c>
      <c r="F26" s="29" t="s">
        <v>78</v>
      </c>
      <c r="G26" s="27" t="s">
        <v>40</v>
      </c>
    </row>
    <row r="27" spans="1:7" ht="129.6">
      <c r="A27" s="30">
        <v>3.5</v>
      </c>
      <c r="B27" s="20" t="s">
        <v>67</v>
      </c>
      <c r="C27" s="27" t="s">
        <v>79</v>
      </c>
      <c r="D27" s="27" t="str">
        <f t="shared" si="0"/>
        <v>3.5 Deploy serverless AWS services</v>
      </c>
      <c r="E27" s="27" t="s">
        <v>80</v>
      </c>
      <c r="F27" s="31"/>
      <c r="G27" s="27" t="s">
        <v>81</v>
      </c>
    </row>
    <row r="28" spans="1:7" ht="115.15">
      <c r="A28" s="30">
        <v>3.6</v>
      </c>
      <c r="B28" s="20" t="s">
        <v>67</v>
      </c>
      <c r="C28" s="27" t="s">
        <v>82</v>
      </c>
      <c r="D28" s="27" t="str">
        <f t="shared" si="0"/>
        <v>3.6 Deploy compute instances</v>
      </c>
      <c r="E28" s="27" t="s">
        <v>83</v>
      </c>
      <c r="F28" s="31"/>
      <c r="G28" s="27" t="s">
        <v>81</v>
      </c>
    </row>
    <row r="29" spans="1:7" ht="86.45">
      <c r="A29" s="30">
        <v>3.7</v>
      </c>
      <c r="B29" s="20" t="s">
        <v>67</v>
      </c>
      <c r="C29" s="27" t="s">
        <v>84</v>
      </c>
      <c r="D29" s="27" t="str">
        <f t="shared" si="0"/>
        <v>3.7 Deploy Security groups</v>
      </c>
      <c r="E29" s="27" t="s">
        <v>85</v>
      </c>
      <c r="F29" s="31"/>
      <c r="G29" s="27" t="s">
        <v>40</v>
      </c>
    </row>
    <row r="30" spans="1:7" ht="144">
      <c r="A30" s="30">
        <v>3.8</v>
      </c>
      <c r="B30" s="20" t="s">
        <v>67</v>
      </c>
      <c r="C30" s="27" t="s">
        <v>86</v>
      </c>
      <c r="D30" s="27" t="str">
        <f t="shared" si="0"/>
        <v>3.8 Deploy Load Balancers</v>
      </c>
      <c r="E30" s="27" t="s">
        <v>87</v>
      </c>
      <c r="F30" s="31"/>
      <c r="G30" s="27" t="s">
        <v>40</v>
      </c>
    </row>
    <row r="31" spans="1:7" ht="57.6">
      <c r="A31" s="30">
        <v>3.9</v>
      </c>
      <c r="B31" s="20" t="s">
        <v>67</v>
      </c>
      <c r="C31" s="27" t="s">
        <v>88</v>
      </c>
      <c r="D31" s="27" t="str">
        <f t="shared" si="0"/>
        <v>3.9 Create DNS entries for new load balancers</v>
      </c>
      <c r="E31" s="27" t="s">
        <v>89</v>
      </c>
      <c r="F31" s="31"/>
      <c r="G31" s="27" t="s">
        <v>34</v>
      </c>
    </row>
    <row r="32" spans="1:7" ht="43.15">
      <c r="A32" s="30">
        <v>3.1</v>
      </c>
      <c r="B32" s="20" t="s">
        <v>67</v>
      </c>
      <c r="C32" s="27" t="s">
        <v>90</v>
      </c>
      <c r="D32" s="27" t="str">
        <f t="shared" si="0"/>
        <v>3.1 Confirm source, destination and port for traffic leaving the AWS Account</v>
      </c>
      <c r="E32" s="27" t="s">
        <v>91</v>
      </c>
      <c r="F32" s="38"/>
      <c r="G32" s="27" t="s">
        <v>81</v>
      </c>
    </row>
    <row r="33" spans="1:7" ht="115.15">
      <c r="A33" s="30">
        <v>3.11</v>
      </c>
      <c r="B33" s="20" t="s">
        <v>67</v>
      </c>
      <c r="C33" s="27" t="s">
        <v>92</v>
      </c>
      <c r="D33" s="27" t="str">
        <f t="shared" si="0"/>
        <v>3.11 CURRENT BLOCKER/ISSUE (NEED TO WORK WITH HONEYWELL TO RESOLVE/ESCALATE) Submit Firewall Requests to make sure VPCs can communicate and downstream applications can receive outbound traffic</v>
      </c>
      <c r="E33" s="27" t="s">
        <v>93</v>
      </c>
      <c r="F33" s="29" t="s">
        <v>94</v>
      </c>
      <c r="G33" s="27" t="s">
        <v>81</v>
      </c>
    </row>
    <row r="34" spans="1:7" ht="28.9">
      <c r="A34" s="30">
        <v>3.12</v>
      </c>
      <c r="B34" s="20" t="s">
        <v>67</v>
      </c>
      <c r="C34" s="52" t="s">
        <v>95</v>
      </c>
      <c r="D34" s="27" t="str">
        <f t="shared" si="0"/>
        <v>3.12 Test connecitvity post firewall request</v>
      </c>
      <c r="E34" s="52" t="s">
        <v>96</v>
      </c>
      <c r="F34" s="53"/>
      <c r="G34" s="27" t="s">
        <v>40</v>
      </c>
    </row>
    <row r="35" spans="1:7" ht="28.9">
      <c r="A35" s="30">
        <v>3.13</v>
      </c>
      <c r="B35" s="20" t="s">
        <v>67</v>
      </c>
      <c r="C35" s="27" t="s">
        <v>97</v>
      </c>
      <c r="D35" s="27" t="str">
        <f t="shared" si="0"/>
        <v>3.13 Database migration</v>
      </c>
      <c r="E35" s="27" t="s">
        <v>98</v>
      </c>
      <c r="F35" s="39"/>
      <c r="G35" s="27" t="s">
        <v>40</v>
      </c>
    </row>
    <row r="36" spans="1:7" ht="100.9">
      <c r="A36" s="30">
        <v>3.14</v>
      </c>
      <c r="B36" s="20" t="s">
        <v>67</v>
      </c>
      <c r="C36" s="27" t="s">
        <v>99</v>
      </c>
      <c r="D36" s="27" t="str">
        <f t="shared" si="0"/>
        <v>3.14 Verify connectivity to the newly migrated database</v>
      </c>
      <c r="E36" s="27" t="s">
        <v>100</v>
      </c>
      <c r="F36" s="39"/>
      <c r="G36" s="27" t="s">
        <v>40</v>
      </c>
    </row>
    <row r="37" spans="1:7" ht="57.6">
      <c r="A37" s="30">
        <v>3.15</v>
      </c>
      <c r="B37" s="20" t="s">
        <v>67</v>
      </c>
      <c r="C37" s="27" t="s">
        <v>101</v>
      </c>
      <c r="D37" s="27" t="str">
        <f t="shared" si="0"/>
        <v>3.15 Service Readiness Verification</v>
      </c>
      <c r="E37" s="27" t="s">
        <v>102</v>
      </c>
      <c r="F37" s="38"/>
      <c r="G37" s="27" t="s">
        <v>40</v>
      </c>
    </row>
    <row r="38" spans="1:7" ht="72">
      <c r="A38" s="30">
        <v>3.16</v>
      </c>
      <c r="B38" s="20" t="s">
        <v>67</v>
      </c>
      <c r="C38" s="27" t="s">
        <v>103</v>
      </c>
      <c r="D38" s="27" t="str">
        <f t="shared" si="0"/>
        <v>3.16 Handoff of completed resource tracker to Application Execution team</v>
      </c>
      <c r="E38" s="27" t="s">
        <v>104</v>
      </c>
      <c r="F38" s="40"/>
      <c r="G38" s="27" t="s">
        <v>40</v>
      </c>
    </row>
    <row r="39" spans="1:7" ht="28.9">
      <c r="A39" s="30">
        <v>4.0999999999999996</v>
      </c>
      <c r="B39" s="21" t="s">
        <v>105</v>
      </c>
      <c r="C39" s="27" t="s">
        <v>106</v>
      </c>
      <c r="D39" s="27" t="str">
        <f t="shared" si="0"/>
        <v xml:space="preserve">4.1 Application Configuration </v>
      </c>
      <c r="E39" s="27" t="s">
        <v>107</v>
      </c>
      <c r="F39" s="31" t="s">
        <v>108</v>
      </c>
      <c r="G39" s="27" t="s">
        <v>34</v>
      </c>
    </row>
    <row r="40" spans="1:7" ht="28.9">
      <c r="A40" s="26">
        <v>4.2</v>
      </c>
      <c r="B40" s="21" t="s">
        <v>105</v>
      </c>
      <c r="C40" s="27" t="s">
        <v>109</v>
      </c>
      <c r="D40" s="27" t="str">
        <f t="shared" si="0"/>
        <v xml:space="preserve">4.2 Service Configuration </v>
      </c>
      <c r="E40" s="27" t="s">
        <v>110</v>
      </c>
      <c r="F40" s="31" t="s">
        <v>111</v>
      </c>
      <c r="G40" s="27" t="s">
        <v>34</v>
      </c>
    </row>
    <row r="41" spans="1:7">
      <c r="A41" s="30">
        <v>4.3</v>
      </c>
      <c r="B41" s="21" t="s">
        <v>105</v>
      </c>
      <c r="C41" s="27" t="s">
        <v>112</v>
      </c>
      <c r="D41" s="27" t="str">
        <f t="shared" si="0"/>
        <v>4.3 Data Assessment</v>
      </c>
      <c r="E41" s="27"/>
      <c r="F41" s="31" t="s">
        <v>113</v>
      </c>
      <c r="G41" s="27" t="s">
        <v>34</v>
      </c>
    </row>
    <row r="42" spans="1:7" ht="15.6">
      <c r="A42" s="26">
        <v>4.4000000000000004</v>
      </c>
      <c r="B42" s="21" t="s">
        <v>105</v>
      </c>
      <c r="C42" s="27" t="s">
        <v>114</v>
      </c>
      <c r="D42" s="27" t="str">
        <f t="shared" si="0"/>
        <v>4.4 Data Clean Up (if applicable)</v>
      </c>
      <c r="E42" s="27"/>
      <c r="F42" s="38"/>
      <c r="G42" s="27" t="s">
        <v>34</v>
      </c>
    </row>
    <row r="43" spans="1:7" ht="28.9">
      <c r="A43" s="30">
        <v>4.5</v>
      </c>
      <c r="B43" s="21" t="s">
        <v>105</v>
      </c>
      <c r="C43" s="27" t="s">
        <v>115</v>
      </c>
      <c r="D43" s="27" t="str">
        <f t="shared" si="0"/>
        <v>4.5 Data Validation (post clean up only)</v>
      </c>
      <c r="E43" s="27"/>
      <c r="F43" s="31" t="s">
        <v>113</v>
      </c>
      <c r="G43" s="27" t="s">
        <v>34</v>
      </c>
    </row>
    <row r="44" spans="1:7" ht="28.9">
      <c r="A44" s="26">
        <v>4.5999999999999996</v>
      </c>
      <c r="B44" s="21" t="s">
        <v>105</v>
      </c>
      <c r="C44" s="27" t="s">
        <v>116</v>
      </c>
      <c r="D44" s="27" t="str">
        <f t="shared" si="0"/>
        <v>4.6 Configure CI/CD Pipelines (if applicable)</v>
      </c>
      <c r="E44" s="27"/>
      <c r="F44" s="31" t="s">
        <v>117</v>
      </c>
      <c r="G44" s="27" t="s">
        <v>34</v>
      </c>
    </row>
    <row r="45" spans="1:7">
      <c r="A45" s="30">
        <v>4.7</v>
      </c>
      <c r="B45" s="21" t="s">
        <v>105</v>
      </c>
      <c r="C45" s="27" t="s">
        <v>118</v>
      </c>
      <c r="D45" s="27" t="str">
        <f t="shared" si="0"/>
        <v>4.7 Application Smoke Testing</v>
      </c>
      <c r="E45" s="27"/>
      <c r="F45" s="31" t="s">
        <v>119</v>
      </c>
      <c r="G45" s="27" t="s">
        <v>34</v>
      </c>
    </row>
    <row r="46" spans="1:7" ht="28.9">
      <c r="A46" s="26">
        <v>4.8</v>
      </c>
      <c r="B46" s="21" t="s">
        <v>105</v>
      </c>
      <c r="C46" s="27" t="s">
        <v>120</v>
      </c>
      <c r="D46" s="27" t="str">
        <f>_xlfn.CONCAT(A46, " ", C46)</f>
        <v>4.8 Complete Post-Migration Checklist (Post-Build)</v>
      </c>
      <c r="E46" s="27"/>
      <c r="F46" s="41" t="s">
        <v>121</v>
      </c>
      <c r="G46" s="27" t="s">
        <v>34</v>
      </c>
    </row>
    <row r="47" spans="1:7" ht="28.9">
      <c r="A47" s="30">
        <v>4.9000000000000004</v>
      </c>
      <c r="B47" s="21" t="s">
        <v>105</v>
      </c>
      <c r="C47" s="27" t="s">
        <v>122</v>
      </c>
      <c r="D47" s="27" t="str">
        <f t="shared" si="0"/>
        <v>4.9 Submit any final DNS requests</v>
      </c>
      <c r="E47" s="27"/>
      <c r="F47" s="41"/>
      <c r="G47" s="27" t="s">
        <v>34</v>
      </c>
    </row>
    <row r="48" spans="1:7" ht="15.6">
      <c r="A48" s="30">
        <v>4.0999999999999996</v>
      </c>
      <c r="B48" s="21" t="s">
        <v>105</v>
      </c>
      <c r="C48" s="27" t="s">
        <v>123</v>
      </c>
      <c r="D48" s="27" t="str">
        <f t="shared" si="0"/>
        <v>4.1 Technical Support</v>
      </c>
      <c r="E48" s="27"/>
      <c r="F48" s="38"/>
      <c r="G48" s="27" t="s">
        <v>40</v>
      </c>
    </row>
    <row r="49" spans="1:7" ht="15.6">
      <c r="A49" s="26">
        <v>4.1100000000000003</v>
      </c>
      <c r="B49" s="21" t="s">
        <v>105</v>
      </c>
      <c r="C49" s="27" t="s">
        <v>124</v>
      </c>
      <c r="D49" s="27" t="str">
        <f t="shared" si="0"/>
        <v>4.11 Rollback Decision Made</v>
      </c>
      <c r="E49" s="27"/>
      <c r="F49" s="38"/>
      <c r="G49" s="27" t="s">
        <v>34</v>
      </c>
    </row>
    <row r="50" spans="1:7">
      <c r="A50" s="30">
        <v>4.12</v>
      </c>
      <c r="B50" s="21" t="s">
        <v>105</v>
      </c>
      <c r="C50" s="27" t="s">
        <v>125</v>
      </c>
      <c r="D50" s="27" t="str">
        <f t="shared" si="0"/>
        <v>4.12 Rollback if required</v>
      </c>
      <c r="E50" s="27"/>
      <c r="F50" s="31" t="s">
        <v>126</v>
      </c>
      <c r="G50" s="27" t="s">
        <v>34</v>
      </c>
    </row>
    <row r="51" spans="1:7" ht="28.9">
      <c r="A51" s="30">
        <v>5.0999999999999996</v>
      </c>
      <c r="B51" s="21" t="s">
        <v>127</v>
      </c>
      <c r="C51" s="27" t="s">
        <v>128</v>
      </c>
      <c r="D51" s="27" t="str">
        <f t="shared" si="0"/>
        <v>5.1 System Integration Testing (SIT)</v>
      </c>
      <c r="E51" s="27"/>
      <c r="F51" s="31" t="s">
        <v>129</v>
      </c>
      <c r="G51" s="27" t="s">
        <v>34</v>
      </c>
    </row>
    <row r="52" spans="1:7" ht="15.6">
      <c r="A52" s="26">
        <v>5.2</v>
      </c>
      <c r="B52" s="21" t="s">
        <v>127</v>
      </c>
      <c r="C52" s="27" t="s">
        <v>130</v>
      </c>
      <c r="D52" s="27" t="str">
        <f t="shared" si="0"/>
        <v>5.2 Review &amp; Approval (TG2)</v>
      </c>
      <c r="E52" s="27"/>
      <c r="F52" s="38"/>
      <c r="G52" s="27" t="s">
        <v>34</v>
      </c>
    </row>
    <row r="53" spans="1:7">
      <c r="A53" s="26">
        <v>5.3</v>
      </c>
      <c r="B53" s="21" t="s">
        <v>127</v>
      </c>
      <c r="C53" s="27" t="s">
        <v>131</v>
      </c>
      <c r="D53" s="27" t="str">
        <f t="shared" si="0"/>
        <v>5.3 Regression Testing/ UAT</v>
      </c>
      <c r="E53" s="27"/>
      <c r="F53" s="31" t="s">
        <v>132</v>
      </c>
      <c r="G53" s="27" t="s">
        <v>34</v>
      </c>
    </row>
    <row r="54" spans="1:7" ht="15.6">
      <c r="A54" s="26">
        <v>5.4</v>
      </c>
      <c r="B54" s="21" t="s">
        <v>127</v>
      </c>
      <c r="C54" s="27" t="s">
        <v>123</v>
      </c>
      <c r="D54" s="27" t="str">
        <f t="shared" si="0"/>
        <v>5.4 Technical Support</v>
      </c>
      <c r="E54" s="27"/>
      <c r="F54" s="38"/>
      <c r="G54" s="27" t="s">
        <v>34</v>
      </c>
    </row>
    <row r="55" spans="1:7" ht="57.6">
      <c r="A55" s="30">
        <v>6.1</v>
      </c>
      <c r="B55" s="20" t="s">
        <v>133</v>
      </c>
      <c r="C55" s="27" t="s">
        <v>134</v>
      </c>
      <c r="D55" s="27" t="str">
        <f t="shared" si="0"/>
        <v>6.1 Post cutover – Change Management and communication (TG3) (service owners)​</v>
      </c>
      <c r="E55" s="27"/>
      <c r="F55" s="31" t="s">
        <v>135</v>
      </c>
      <c r="G55" s="27" t="s">
        <v>34</v>
      </c>
    </row>
    <row r="56" spans="1:7" ht="28.9">
      <c r="A56" s="26">
        <v>6.2</v>
      </c>
      <c r="B56" s="21" t="s">
        <v>136</v>
      </c>
      <c r="C56" s="27" t="s">
        <v>137</v>
      </c>
      <c r="D56" s="27" t="str">
        <f t="shared" si="0"/>
        <v>6.2 KT Sessions ( 2 1-hour sessions)​</v>
      </c>
      <c r="E56" s="27"/>
      <c r="F56" s="38"/>
      <c r="G56" s="27" t="s">
        <v>34</v>
      </c>
    </row>
    <row r="57" spans="1:7" ht="28.9">
      <c r="A57" s="26">
        <v>6.3</v>
      </c>
      <c r="B57" s="21" t="s">
        <v>136</v>
      </c>
      <c r="C57" s="27" t="s">
        <v>138</v>
      </c>
      <c r="D57" s="27" t="str">
        <f t="shared" si="0"/>
        <v>6.3 Final DNS Cleanup (Servers and VIPs)</v>
      </c>
      <c r="E57" s="27"/>
      <c r="F57" s="38"/>
      <c r="G57" s="27" t="s">
        <v>34</v>
      </c>
    </row>
    <row r="58" spans="1:7" ht="15.6">
      <c r="A58" s="26">
        <v>6.4</v>
      </c>
      <c r="B58" s="21" t="s">
        <v>136</v>
      </c>
      <c r="C58" s="27" t="s">
        <v>123</v>
      </c>
      <c r="D58" s="27" t="str">
        <f t="shared" si="0"/>
        <v>6.4 Technical Support</v>
      </c>
      <c r="E58" s="27"/>
      <c r="F58" s="38"/>
      <c r="G58" s="27" t="s">
        <v>34</v>
      </c>
    </row>
    <row r="59" spans="1:7">
      <c r="A59" s="42">
        <v>7</v>
      </c>
      <c r="B59" s="22" t="s">
        <v>139</v>
      </c>
      <c r="C59" s="43" t="s">
        <v>123</v>
      </c>
      <c r="D59" s="27" t="str">
        <f t="shared" si="0"/>
        <v>7 Technical Support</v>
      </c>
      <c r="E59" s="43"/>
      <c r="F59" s="44" t="s">
        <v>140</v>
      </c>
      <c r="G59" s="27" t="s">
        <v>34</v>
      </c>
    </row>
  </sheetData>
  <conditionalFormatting sqref="C2:D3 D4">
    <cfRule type="containsText" dxfId="3" priority="1" operator="containsText" text="Not Found">
      <formula>NOT(ISERROR(SEARCH("Not Found",C2)))</formula>
    </cfRule>
    <cfRule type="expression" dxfId="2" priority="2">
      <formula>#REF!="NA"</formula>
    </cfRule>
  </conditionalFormatting>
  <hyperlinks>
    <hyperlink ref="F50" r:id="rId1" xr:uid="{DB7F5FEB-CE1E-4A22-8565-E574DCE07800}"/>
    <hyperlink ref="F46" r:id="rId2" xr:uid="{2FE9AF9D-5F4A-404B-90A6-40D9B033BDE7}"/>
    <hyperlink ref="F45" r:id="rId3" xr:uid="{8F10FA9B-A8E6-4C37-A947-76D1BEC212BF}"/>
    <hyperlink ref="F44" r:id="rId4" xr:uid="{66699AB8-557E-437D-85CD-547C48693F36}"/>
    <hyperlink ref="F43" r:id="rId5" xr:uid="{CE528C3C-7AA1-40E8-B2D0-E849CD4F843D}"/>
    <hyperlink ref="F41" r:id="rId6" xr:uid="{48DEAFF7-E33F-447E-A1A8-4A4AC655904A}"/>
    <hyperlink ref="F39" r:id="rId7" xr:uid="{1439CAA8-170F-4E34-A673-0E0AC14C7654}"/>
    <hyperlink ref="F51" r:id="rId8" xr:uid="{58830A80-2DAB-4093-BF98-FC526EC8FA0B}"/>
    <hyperlink ref="F53" r:id="rId9" xr:uid="{AE63FD96-67A8-4382-AD78-A009AFAF515B}"/>
    <hyperlink ref="F55" r:id="rId10" xr:uid="{F477B611-AB0D-417A-83CF-8FC1D250C55D}"/>
    <hyperlink ref="F59" r:id="rId11" xr:uid="{CE4D10BF-860F-4DDE-8F93-ECBEB85D8571}"/>
    <hyperlink ref="F20" r:id="rId12" xr:uid="{1CC438D1-9257-4B78-B1F7-1B91032773C5}"/>
    <hyperlink ref="F40" r:id="rId13" xr:uid="{71CC2FCE-9F95-4641-8CB6-7423858A4E1A}"/>
    <hyperlink ref="F10" r:id="rId14" xr:uid="{7DADF2D8-8DB1-4CD7-B36F-CC3D04F1A33F}"/>
    <hyperlink ref="F18" r:id="rId15" xr:uid="{B5C17185-3C00-4A53-AE4A-220DFC67D085}"/>
    <hyperlink ref="F11" r:id="rId16" xr:uid="{27C263D3-3C3B-4933-AA44-61BC5F76A084}"/>
    <hyperlink ref="F21" r:id="rId17" xr:uid="{B9BDF8A7-99BF-4766-96A7-3D43696D90D4}"/>
    <hyperlink ref="F26" r:id="rId18" xr:uid="{E53F7C03-D676-4B26-82E6-C6B6EF883716}"/>
    <hyperlink ref="F33" r:id="rId19" xr:uid="{A66B2C07-7D1C-4B0B-B9F4-267DF1F81FC1}"/>
    <hyperlink ref="F13" r:id="rId20" xr:uid="{316EB691-8C75-4B69-A785-2000F58EF5CC}"/>
    <hyperlink ref="F12" r:id="rId21" xr:uid="{868170AF-4725-4617-AF6C-DAA615F8CDF0}"/>
    <hyperlink ref="F17" r:id="rId22" xr:uid="{7850D9BE-9B60-4583-A19F-861AC84907A3}"/>
    <hyperlink ref="F23" r:id="rId23" xr:uid="{E84D4273-CCC8-4326-9423-9AA8EFC3E894}"/>
    <hyperlink ref="F15" r:id="rId24" xr:uid="{3505D690-38CC-4263-8775-5F84BBC45FFC}"/>
    <hyperlink ref="F16" r:id="rId25" xr:uid="{BCF23D36-AE92-4F60-9FCF-330E489547A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AA87-83BA-4F74-AA60-7DA9F5203171}">
  <dimension ref="A1:J59"/>
  <sheetViews>
    <sheetView tabSelected="1" zoomScale="85" zoomScaleNormal="85" workbookViewId="0">
      <pane ySplit="9" topLeftCell="A21" activePane="bottomLeft" state="frozen"/>
      <selection pane="bottomLeft" activeCell="H10" sqref="H10"/>
    </sheetView>
  </sheetViews>
  <sheetFormatPr defaultRowHeight="14.45"/>
  <cols>
    <col min="1" max="1" width="11.5703125" customWidth="1"/>
    <col min="2" max="2" width="18.28515625" customWidth="1"/>
    <col min="3" max="3" width="39.140625" customWidth="1"/>
    <col min="4" max="4" width="28.42578125" customWidth="1"/>
    <col min="5" max="5" width="35.5703125" bestFit="1" customWidth="1"/>
    <col min="6" max="6" width="39.5703125" customWidth="1"/>
    <col min="7" max="7" width="20.140625" customWidth="1"/>
    <col min="8" max="8" width="24.5703125" customWidth="1"/>
  </cols>
  <sheetData>
    <row r="1" spans="1:10" ht="15.6">
      <c r="A1" s="1" t="s">
        <v>141</v>
      </c>
      <c r="B1" s="2"/>
      <c r="C1" s="3"/>
      <c r="D1" s="3"/>
      <c r="E1" s="3"/>
      <c r="F1" s="4"/>
      <c r="G1" s="4"/>
    </row>
    <row r="2" spans="1:10" ht="15.6">
      <c r="A2" s="5"/>
      <c r="B2" s="6" t="s">
        <v>1</v>
      </c>
      <c r="C2" s="50" t="s">
        <v>142</v>
      </c>
      <c r="D2" s="51"/>
      <c r="E2" s="7" t="s">
        <v>3</v>
      </c>
      <c r="F2" s="8"/>
      <c r="G2" s="8"/>
    </row>
    <row r="3" spans="1:10" ht="15.6">
      <c r="A3" s="5"/>
      <c r="B3" s="6" t="s">
        <v>4</v>
      </c>
      <c r="C3" s="50" t="s">
        <v>5</v>
      </c>
      <c r="D3" s="51"/>
      <c r="E3" s="7" t="s">
        <v>6</v>
      </c>
      <c r="F3" s="8"/>
      <c r="G3" s="8"/>
    </row>
    <row r="4" spans="1:10" ht="15.6">
      <c r="A4" s="5"/>
      <c r="B4" s="6" t="s">
        <v>7</v>
      </c>
      <c r="C4" s="45" t="s">
        <v>8</v>
      </c>
      <c r="D4" s="51"/>
      <c r="E4" s="7" t="s">
        <v>9</v>
      </c>
      <c r="F4" s="9" t="s">
        <v>10</v>
      </c>
      <c r="G4" s="9"/>
    </row>
    <row r="5" spans="1:10" ht="15.6">
      <c r="A5" s="5"/>
      <c r="B5" s="6" t="s">
        <v>11</v>
      </c>
      <c r="C5" s="45" t="s">
        <v>143</v>
      </c>
      <c r="D5" s="10"/>
      <c r="E5" s="7" t="s">
        <v>13</v>
      </c>
      <c r="F5" s="8"/>
      <c r="G5" s="8"/>
    </row>
    <row r="6" spans="1:10" ht="15.6">
      <c r="A6" s="5"/>
      <c r="B6" s="6" t="s">
        <v>14</v>
      </c>
      <c r="C6" s="11" t="s">
        <v>144</v>
      </c>
      <c r="D6" s="11"/>
      <c r="E6" s="7" t="s">
        <v>16</v>
      </c>
      <c r="F6" s="8" t="s">
        <v>10</v>
      </c>
      <c r="G6" s="8"/>
    </row>
    <row r="7" spans="1:10" ht="15.6">
      <c r="A7" s="5"/>
      <c r="B7" s="6" t="s">
        <v>17</v>
      </c>
      <c r="C7" s="45" t="s">
        <v>18</v>
      </c>
      <c r="D7" s="10"/>
      <c r="E7" s="7" t="s">
        <v>19</v>
      </c>
      <c r="F7" s="8"/>
      <c r="G7" s="8"/>
    </row>
    <row r="8" spans="1:10" ht="15.6">
      <c r="A8" s="12"/>
      <c r="B8" s="13" t="s">
        <v>20</v>
      </c>
      <c r="C8" s="46">
        <v>361734395902</v>
      </c>
      <c r="D8" s="14"/>
      <c r="E8" s="15" t="s">
        <v>22</v>
      </c>
      <c r="F8" s="16"/>
      <c r="G8" s="16"/>
    </row>
    <row r="9" spans="1:10" ht="15.6">
      <c r="A9" s="17" t="s">
        <v>23</v>
      </c>
      <c r="B9" s="18" t="s">
        <v>24</v>
      </c>
      <c r="C9" s="18" t="s">
        <v>25</v>
      </c>
      <c r="D9" s="18"/>
      <c r="E9" s="18" t="s">
        <v>26</v>
      </c>
      <c r="F9" s="18" t="s">
        <v>27</v>
      </c>
      <c r="G9" s="18" t="s">
        <v>28</v>
      </c>
      <c r="H9" s="47" t="s">
        <v>29</v>
      </c>
    </row>
    <row r="10" spans="1:10" ht="86.45">
      <c r="A10" s="23">
        <v>1</v>
      </c>
      <c r="B10" s="19" t="s">
        <v>30</v>
      </c>
      <c r="C10" s="24" t="s">
        <v>145</v>
      </c>
      <c r="D10" s="24" t="str">
        <f>_xlfn.CONCAT(A10, " ", C10)</f>
        <v>1 Identify the owners – Business, Technical, and Site/ Run/ Service Owners​ / AWS account</v>
      </c>
      <c r="E10" s="24" t="s">
        <v>32</v>
      </c>
      <c r="F10" s="25" t="s">
        <v>33</v>
      </c>
      <c r="G10" s="24" t="s">
        <v>34</v>
      </c>
      <c r="H10" s="27" t="s">
        <v>146</v>
      </c>
    </row>
    <row r="11" spans="1:10" ht="86.45">
      <c r="A11" s="26">
        <v>1.1000000000000001</v>
      </c>
      <c r="B11" s="20" t="s">
        <v>30</v>
      </c>
      <c r="C11" s="27" t="s">
        <v>35</v>
      </c>
      <c r="D11" s="27" t="str">
        <f t="shared" ref="D11:D59" si="0">_xlfn.CONCAT(A11, " ", C11)</f>
        <v>1.1 Verify App Execution team has the proper access to source AWS account and AERO AWS</v>
      </c>
      <c r="E11" s="27" t="s">
        <v>36</v>
      </c>
      <c r="F11" s="28" t="s">
        <v>37</v>
      </c>
      <c r="G11" s="27" t="s">
        <v>34</v>
      </c>
      <c r="H11" s="27" t="s">
        <v>147</v>
      </c>
    </row>
    <row r="12" spans="1:10" ht="72">
      <c r="A12" s="26">
        <v>1.2</v>
      </c>
      <c r="B12" s="20" t="s">
        <v>30</v>
      </c>
      <c r="C12" s="27" t="s">
        <v>38</v>
      </c>
      <c r="D12" s="27" t="str">
        <f t="shared" si="0"/>
        <v>1.2 Verify App Factory team has the proper access to source AWS account and AERO AWS</v>
      </c>
      <c r="E12" s="27" t="s">
        <v>39</v>
      </c>
      <c r="F12" s="29" t="s">
        <v>37</v>
      </c>
      <c r="G12" s="27" t="s">
        <v>40</v>
      </c>
      <c r="H12" s="27" t="s">
        <v>146</v>
      </c>
    </row>
    <row r="13" spans="1:10" ht="86.45">
      <c r="A13" s="26">
        <v>1.3</v>
      </c>
      <c r="B13" s="20" t="s">
        <v>30</v>
      </c>
      <c r="C13" s="27" t="s">
        <v>41</v>
      </c>
      <c r="D13" s="27" t="str">
        <f t="shared" si="0"/>
        <v>1.3 Submit the Change Request</v>
      </c>
      <c r="E13" s="27" t="s">
        <v>42</v>
      </c>
      <c r="F13" s="29" t="s">
        <v>43</v>
      </c>
      <c r="G13" s="27" t="s">
        <v>34</v>
      </c>
      <c r="H13" s="27" t="s">
        <v>147</v>
      </c>
    </row>
    <row r="14" spans="1:10" ht="43.15">
      <c r="A14" s="30">
        <v>1.4</v>
      </c>
      <c r="B14" s="20" t="s">
        <v>30</v>
      </c>
      <c r="C14" s="27" t="s">
        <v>44</v>
      </c>
      <c r="D14" s="27" t="str">
        <f t="shared" si="0"/>
        <v>1.4 Create an AERO/New Honeywell ASN</v>
      </c>
      <c r="E14" s="27" t="s">
        <v>45</v>
      </c>
      <c r="F14" s="31"/>
      <c r="G14" s="27" t="s">
        <v>34</v>
      </c>
      <c r="H14" s="27" t="s">
        <v>147</v>
      </c>
    </row>
    <row r="15" spans="1:10" ht="78">
      <c r="A15" s="30">
        <v>1.5</v>
      </c>
      <c r="B15" s="32" t="s">
        <v>30</v>
      </c>
      <c r="C15" s="33" t="s">
        <v>46</v>
      </c>
      <c r="D15" s="27" t="str">
        <f t="shared" si="0"/>
        <v>1.5 Update ASN Disposition</v>
      </c>
      <c r="E15" s="33" t="s">
        <v>47</v>
      </c>
      <c r="F15" s="28" t="s">
        <v>48</v>
      </c>
      <c r="G15" s="27" t="s">
        <v>40</v>
      </c>
      <c r="H15" s="27" t="s">
        <v>148</v>
      </c>
    </row>
    <row r="16" spans="1:10" ht="172.9">
      <c r="A16" s="26">
        <v>1.6</v>
      </c>
      <c r="B16" s="20" t="s">
        <v>30</v>
      </c>
      <c r="C16" s="27" t="s">
        <v>49</v>
      </c>
      <c r="D16" s="27" t="str">
        <f t="shared" si="0"/>
        <v>1.6 Gather Account Deployment Prerequisites</v>
      </c>
      <c r="E16" s="27" t="s">
        <v>50</v>
      </c>
      <c r="F16" s="29" t="s">
        <v>51</v>
      </c>
      <c r="G16" s="27" t="s">
        <v>34</v>
      </c>
      <c r="H16" s="27" t="s">
        <v>149</v>
      </c>
      <c r="I16" s="49" t="s">
        <v>150</v>
      </c>
      <c r="J16" s="27" t="s">
        <v>151</v>
      </c>
    </row>
    <row r="17" spans="1:9" ht="57.6">
      <c r="A17" s="30">
        <v>1.7</v>
      </c>
      <c r="B17" s="20" t="s">
        <v>30</v>
      </c>
      <c r="C17" s="27" t="s">
        <v>52</v>
      </c>
      <c r="D17" s="27" t="str">
        <f t="shared" si="0"/>
        <v>1.7 AWS Account Setup (Landing Zone Creation)</v>
      </c>
      <c r="E17" s="27" t="s">
        <v>53</v>
      </c>
      <c r="F17" s="29" t="s">
        <v>51</v>
      </c>
      <c r="G17" s="27" t="s">
        <v>34</v>
      </c>
      <c r="H17" s="27" t="s">
        <v>149</v>
      </c>
      <c r="I17" s="27" t="s">
        <v>152</v>
      </c>
    </row>
    <row r="18" spans="1:9" ht="129.6">
      <c r="A18" s="26">
        <v>1.8</v>
      </c>
      <c r="B18" s="20" t="s">
        <v>30</v>
      </c>
      <c r="C18" s="27" t="s">
        <v>54</v>
      </c>
      <c r="D18" s="27" t="str">
        <f t="shared" si="0"/>
        <v>1.8 Complete the AWS resource tracker &amp; Open a teams chat (with app name) for this build</v>
      </c>
      <c r="E18" s="27" t="s">
        <v>55</v>
      </c>
      <c r="F18" s="31" t="s">
        <v>56</v>
      </c>
      <c r="G18" s="27" t="s">
        <v>57</v>
      </c>
      <c r="H18" s="27" t="s">
        <v>153</v>
      </c>
    </row>
    <row r="19" spans="1:9" ht="93.6">
      <c r="A19" s="34">
        <v>1.9</v>
      </c>
      <c r="B19" s="35" t="s">
        <v>30</v>
      </c>
      <c r="C19" s="36" t="s">
        <v>41</v>
      </c>
      <c r="D19" s="27" t="str">
        <f t="shared" si="0"/>
        <v>1.9 Submit the Change Request</v>
      </c>
      <c r="E19" s="36" t="s">
        <v>42</v>
      </c>
      <c r="F19" s="37"/>
      <c r="G19" s="36" t="s">
        <v>34</v>
      </c>
      <c r="H19" s="48" t="s">
        <v>154</v>
      </c>
    </row>
    <row r="20" spans="1:9" ht="43.15">
      <c r="A20" s="26">
        <v>2.1</v>
      </c>
      <c r="B20" s="20" t="s">
        <v>30</v>
      </c>
      <c r="C20" s="27" t="s">
        <v>58</v>
      </c>
      <c r="D20" s="27" t="str">
        <f t="shared" si="0"/>
        <v>2.1 Run CloudFormation IaC Generation for Discovery</v>
      </c>
      <c r="E20" s="27" t="s">
        <v>59</v>
      </c>
      <c r="F20" s="31" t="s">
        <v>60</v>
      </c>
      <c r="G20" s="27" t="s">
        <v>40</v>
      </c>
      <c r="H20" s="27" t="s">
        <v>146</v>
      </c>
    </row>
    <row r="21" spans="1:9" ht="216">
      <c r="A21" s="26">
        <v>2.2000000000000002</v>
      </c>
      <c r="B21" s="20" t="s">
        <v>61</v>
      </c>
      <c r="C21" s="27" t="s">
        <v>62</v>
      </c>
      <c r="D21" s="27" t="str">
        <f t="shared" si="0"/>
        <v>2.2 Create any AERO AD groups and required certificates</v>
      </c>
      <c r="E21" s="27" t="s">
        <v>63</v>
      </c>
      <c r="F21" s="29" t="s">
        <v>64</v>
      </c>
      <c r="G21" s="27" t="s">
        <v>57</v>
      </c>
      <c r="H21" s="27" t="s">
        <v>155</v>
      </c>
    </row>
    <row r="22" spans="1:9" ht="43.15">
      <c r="A22" s="30">
        <v>2.2999999999999998</v>
      </c>
      <c r="B22" s="20" t="s">
        <v>61</v>
      </c>
      <c r="C22" s="27" t="s">
        <v>65</v>
      </c>
      <c r="D22" s="27" t="str">
        <f t="shared" si="0"/>
        <v>2.3 Upload certificates to AWS certificate manager on target account (landing zone)</v>
      </c>
      <c r="E22" s="27" t="s">
        <v>66</v>
      </c>
      <c r="F22" s="29"/>
      <c r="G22" s="27" t="s">
        <v>40</v>
      </c>
      <c r="H22" s="27" t="s">
        <v>156</v>
      </c>
    </row>
    <row r="23" spans="1:9" ht="172.9">
      <c r="A23" s="30">
        <v>3.1</v>
      </c>
      <c r="B23" s="20" t="s">
        <v>67</v>
      </c>
      <c r="C23" s="27" t="s">
        <v>68</v>
      </c>
      <c r="D23" s="27" t="str">
        <f t="shared" si="0"/>
        <v>3.1 IAM Permission Mirroring</v>
      </c>
      <c r="E23" s="27" t="s">
        <v>69</v>
      </c>
      <c r="F23" s="29" t="s">
        <v>70</v>
      </c>
      <c r="G23" s="27" t="s">
        <v>40</v>
      </c>
      <c r="H23" s="27" t="s">
        <v>146</v>
      </c>
    </row>
    <row r="24" spans="1:9" ht="57.6">
      <c r="A24" s="30">
        <v>3.2</v>
      </c>
      <c r="B24" s="20" t="s">
        <v>67</v>
      </c>
      <c r="C24" s="27" t="s">
        <v>71</v>
      </c>
      <c r="D24" s="27" t="str">
        <f t="shared" si="0"/>
        <v>3.2 CI/CD Setup</v>
      </c>
      <c r="E24" s="27" t="s">
        <v>72</v>
      </c>
      <c r="F24" s="31"/>
      <c r="G24" s="27" t="s">
        <v>34</v>
      </c>
      <c r="H24" s="27" t="s">
        <v>157</v>
      </c>
    </row>
    <row r="25" spans="1:9" ht="201.6">
      <c r="A25" s="30">
        <v>3.3</v>
      </c>
      <c r="B25" s="20" t="s">
        <v>67</v>
      </c>
      <c r="C25" s="27" t="s">
        <v>73</v>
      </c>
      <c r="D25" s="27" t="str">
        <f t="shared" si="0"/>
        <v>3.3 Database migration planning</v>
      </c>
      <c r="E25" s="27" t="s">
        <v>74</v>
      </c>
      <c r="F25" s="31"/>
      <c r="G25" s="27" t="s">
        <v>75</v>
      </c>
      <c r="H25" s="27" t="s">
        <v>158</v>
      </c>
      <c r="I25" s="49" t="s">
        <v>159</v>
      </c>
    </row>
    <row r="26" spans="1:9" ht="72">
      <c r="A26" s="30">
        <v>3.4</v>
      </c>
      <c r="B26" s="20" t="s">
        <v>67</v>
      </c>
      <c r="C26" s="27" t="s">
        <v>76</v>
      </c>
      <c r="D26" s="27" t="str">
        <f t="shared" si="0"/>
        <v>3.4 Deploy any VPC endpoints</v>
      </c>
      <c r="E26" s="27" t="s">
        <v>77</v>
      </c>
      <c r="F26" s="29" t="s">
        <v>78</v>
      </c>
      <c r="G26" s="27" t="s">
        <v>40</v>
      </c>
      <c r="H26" s="27" t="s">
        <v>160</v>
      </c>
    </row>
    <row r="27" spans="1:9" ht="129.6">
      <c r="A27" s="30">
        <v>3.5</v>
      </c>
      <c r="B27" s="20" t="s">
        <v>67</v>
      </c>
      <c r="C27" s="27" t="s">
        <v>79</v>
      </c>
      <c r="D27" s="27" t="str">
        <f t="shared" si="0"/>
        <v>3.5 Deploy serverless AWS services</v>
      </c>
      <c r="E27" s="27" t="s">
        <v>80</v>
      </c>
      <c r="F27" s="31"/>
      <c r="G27" s="27" t="s">
        <v>81</v>
      </c>
      <c r="H27" s="27" t="s">
        <v>157</v>
      </c>
    </row>
    <row r="28" spans="1:9" ht="115.15">
      <c r="A28" s="30">
        <v>3.6</v>
      </c>
      <c r="B28" s="20" t="s">
        <v>67</v>
      </c>
      <c r="C28" s="27" t="s">
        <v>82</v>
      </c>
      <c r="D28" s="27" t="str">
        <f t="shared" si="0"/>
        <v>3.6 Deploy compute instances</v>
      </c>
      <c r="E28" s="27" t="s">
        <v>83</v>
      </c>
      <c r="F28" s="31"/>
      <c r="G28" s="27" t="s">
        <v>81</v>
      </c>
      <c r="H28" s="27" t="s">
        <v>146</v>
      </c>
    </row>
    <row r="29" spans="1:9" ht="86.45">
      <c r="A29" s="30">
        <v>3.7</v>
      </c>
      <c r="B29" s="20" t="s">
        <v>67</v>
      </c>
      <c r="C29" s="27" t="s">
        <v>84</v>
      </c>
      <c r="D29" s="27" t="str">
        <f t="shared" si="0"/>
        <v>3.7 Deploy Security groups</v>
      </c>
      <c r="E29" s="27" t="s">
        <v>85</v>
      </c>
      <c r="F29" s="31"/>
      <c r="G29" s="27" t="s">
        <v>40</v>
      </c>
      <c r="H29" s="27" t="s">
        <v>146</v>
      </c>
    </row>
    <row r="30" spans="1:9" ht="144">
      <c r="A30" s="30">
        <v>3.8</v>
      </c>
      <c r="B30" s="20" t="s">
        <v>67</v>
      </c>
      <c r="C30" s="27" t="s">
        <v>86</v>
      </c>
      <c r="D30" s="27" t="str">
        <f t="shared" si="0"/>
        <v>3.8 Deploy Load Balancers</v>
      </c>
      <c r="E30" s="27" t="s">
        <v>87</v>
      </c>
      <c r="F30" s="31"/>
      <c r="G30" s="27" t="s">
        <v>40</v>
      </c>
      <c r="H30" s="27" t="s">
        <v>157</v>
      </c>
    </row>
    <row r="31" spans="1:9" ht="57.6">
      <c r="A31" s="30">
        <v>3.9</v>
      </c>
      <c r="B31" s="20" t="s">
        <v>67</v>
      </c>
      <c r="C31" s="27" t="s">
        <v>88</v>
      </c>
      <c r="D31" s="27" t="str">
        <f t="shared" si="0"/>
        <v>3.9 Create DNS entries for new load balancers</v>
      </c>
      <c r="E31" s="27" t="s">
        <v>89</v>
      </c>
      <c r="F31" s="31"/>
      <c r="G31" s="27" t="s">
        <v>34</v>
      </c>
      <c r="H31" s="27" t="s">
        <v>157</v>
      </c>
    </row>
    <row r="32" spans="1:9" ht="100.9">
      <c r="A32" s="30">
        <v>3.1</v>
      </c>
      <c r="B32" s="20" t="s">
        <v>67</v>
      </c>
      <c r="C32" s="27" t="s">
        <v>90</v>
      </c>
      <c r="D32" s="27" t="str">
        <f t="shared" si="0"/>
        <v>3.1 Confirm source, destination and port for traffic leaving the AWS Account</v>
      </c>
      <c r="E32" s="27" t="s">
        <v>91</v>
      </c>
      <c r="F32" s="38"/>
      <c r="G32" s="27" t="s">
        <v>81</v>
      </c>
      <c r="H32" s="27" t="s">
        <v>161</v>
      </c>
    </row>
    <row r="33" spans="1:8" ht="115.15">
      <c r="A33" s="30">
        <v>3.11</v>
      </c>
      <c r="B33" s="20" t="s">
        <v>67</v>
      </c>
      <c r="C33" s="27" t="s">
        <v>92</v>
      </c>
      <c r="D33" s="27" t="str">
        <f t="shared" si="0"/>
        <v>3.11 CURRENT BLOCKER/ISSUE (NEED TO WORK WITH HONEYWELL TO RESOLVE/ESCALATE) Submit Firewall Requests to make sure VPCs can communicate and downstream applications can receive outbound traffic</v>
      </c>
      <c r="E33" s="27" t="s">
        <v>93</v>
      </c>
      <c r="F33" s="29" t="s">
        <v>94</v>
      </c>
      <c r="G33" s="27" t="s">
        <v>81</v>
      </c>
      <c r="H33" s="27" t="s">
        <v>162</v>
      </c>
    </row>
    <row r="34" spans="1:8" ht="28.9">
      <c r="A34" s="30">
        <v>3.12</v>
      </c>
      <c r="B34" s="20" t="s">
        <v>67</v>
      </c>
      <c r="C34" s="52" t="s">
        <v>95</v>
      </c>
      <c r="D34" s="27" t="str">
        <f t="shared" si="0"/>
        <v>3.12 Test connecitvity post firewall request</v>
      </c>
      <c r="E34" s="52" t="s">
        <v>96</v>
      </c>
      <c r="F34" s="53"/>
      <c r="G34" s="27" t="s">
        <v>40</v>
      </c>
      <c r="H34" s="27"/>
    </row>
    <row r="35" spans="1:8" ht="28.9">
      <c r="A35" s="30">
        <v>3.13</v>
      </c>
      <c r="B35" s="20" t="s">
        <v>67</v>
      </c>
      <c r="C35" s="27" t="s">
        <v>97</v>
      </c>
      <c r="D35" s="27" t="str">
        <f t="shared" si="0"/>
        <v>3.13 Database migration</v>
      </c>
      <c r="E35" s="27" t="s">
        <v>98</v>
      </c>
      <c r="F35" s="39"/>
      <c r="G35" s="27" t="s">
        <v>40</v>
      </c>
      <c r="H35" s="27"/>
    </row>
    <row r="36" spans="1:8" ht="100.9">
      <c r="A36" s="30">
        <v>3.14</v>
      </c>
      <c r="B36" s="20" t="s">
        <v>67</v>
      </c>
      <c r="C36" s="27" t="s">
        <v>99</v>
      </c>
      <c r="D36" s="27" t="str">
        <f t="shared" si="0"/>
        <v>3.14 Verify connectivity to the newly migrated database</v>
      </c>
      <c r="E36" s="27" t="s">
        <v>100</v>
      </c>
      <c r="F36" s="39"/>
      <c r="G36" s="27" t="s">
        <v>40</v>
      </c>
      <c r="H36" s="27"/>
    </row>
    <row r="37" spans="1:8" ht="57.6">
      <c r="A37" s="30">
        <v>3.15</v>
      </c>
      <c r="B37" s="20" t="s">
        <v>67</v>
      </c>
      <c r="C37" s="27" t="s">
        <v>101</v>
      </c>
      <c r="D37" s="27" t="str">
        <f t="shared" si="0"/>
        <v>3.15 Service Readiness Verification</v>
      </c>
      <c r="E37" s="27" t="s">
        <v>102</v>
      </c>
      <c r="F37" s="38"/>
      <c r="G37" s="27" t="s">
        <v>40</v>
      </c>
      <c r="H37" s="27"/>
    </row>
    <row r="38" spans="1:8" ht="72">
      <c r="A38" s="30">
        <v>3.16</v>
      </c>
      <c r="B38" s="20" t="s">
        <v>67</v>
      </c>
      <c r="C38" s="27" t="s">
        <v>103</v>
      </c>
      <c r="D38" s="27" t="str">
        <f t="shared" si="0"/>
        <v>3.16 Handoff of completed resource tracker to Application Execution team</v>
      </c>
      <c r="E38" s="27" t="s">
        <v>104</v>
      </c>
      <c r="F38" s="40"/>
      <c r="G38" s="27" t="s">
        <v>40</v>
      </c>
      <c r="H38" s="27"/>
    </row>
    <row r="39" spans="1:8" ht="28.9">
      <c r="A39" s="30">
        <v>4.0999999999999996</v>
      </c>
      <c r="B39" s="21" t="s">
        <v>105</v>
      </c>
      <c r="C39" s="27" t="s">
        <v>106</v>
      </c>
      <c r="D39" s="27" t="str">
        <f t="shared" si="0"/>
        <v xml:space="preserve">4.1 Application Configuration </v>
      </c>
      <c r="E39" s="27" t="s">
        <v>107</v>
      </c>
      <c r="F39" s="31" t="s">
        <v>108</v>
      </c>
      <c r="G39" s="27" t="s">
        <v>34</v>
      </c>
      <c r="H39" s="27" t="s">
        <v>163</v>
      </c>
    </row>
    <row r="40" spans="1:8" ht="28.9">
      <c r="A40" s="26">
        <v>4.2</v>
      </c>
      <c r="B40" s="21" t="s">
        <v>105</v>
      </c>
      <c r="C40" s="27" t="s">
        <v>109</v>
      </c>
      <c r="D40" s="27" t="str">
        <f t="shared" si="0"/>
        <v xml:space="preserve">4.2 Service Configuration </v>
      </c>
      <c r="E40" s="27" t="s">
        <v>110</v>
      </c>
      <c r="F40" s="31" t="s">
        <v>111</v>
      </c>
      <c r="G40" s="27" t="s">
        <v>34</v>
      </c>
      <c r="H40" s="27" t="s">
        <v>164</v>
      </c>
    </row>
    <row r="41" spans="1:8">
      <c r="A41" s="30">
        <v>4.3</v>
      </c>
      <c r="B41" s="21" t="s">
        <v>105</v>
      </c>
      <c r="C41" s="27" t="s">
        <v>112</v>
      </c>
      <c r="D41" s="27" t="str">
        <f t="shared" si="0"/>
        <v>4.3 Data Assessment</v>
      </c>
      <c r="E41" s="27"/>
      <c r="F41" s="31" t="s">
        <v>113</v>
      </c>
      <c r="G41" s="27" t="s">
        <v>34</v>
      </c>
      <c r="H41" s="27" t="s">
        <v>157</v>
      </c>
    </row>
    <row r="42" spans="1:8" ht="15.6">
      <c r="A42" s="26">
        <v>4.4000000000000004</v>
      </c>
      <c r="B42" s="21" t="s">
        <v>105</v>
      </c>
      <c r="C42" s="27" t="s">
        <v>114</v>
      </c>
      <c r="D42" s="27" t="str">
        <f t="shared" si="0"/>
        <v>4.4 Data Clean Up (if applicable)</v>
      </c>
      <c r="E42" s="27"/>
      <c r="F42" s="38"/>
      <c r="G42" s="27" t="s">
        <v>34</v>
      </c>
      <c r="H42" s="27" t="s">
        <v>157</v>
      </c>
    </row>
    <row r="43" spans="1:8" ht="28.9">
      <c r="A43" s="30">
        <v>4.5</v>
      </c>
      <c r="B43" s="21" t="s">
        <v>105</v>
      </c>
      <c r="C43" s="27" t="s">
        <v>115</v>
      </c>
      <c r="D43" s="27" t="str">
        <f t="shared" si="0"/>
        <v>4.5 Data Validation (post clean up only)</v>
      </c>
      <c r="E43" s="27"/>
      <c r="F43" s="31" t="s">
        <v>113</v>
      </c>
      <c r="G43" s="27" t="s">
        <v>34</v>
      </c>
      <c r="H43" s="27" t="s">
        <v>157</v>
      </c>
    </row>
    <row r="44" spans="1:8" ht="28.9">
      <c r="A44" s="26">
        <v>4.5999999999999996</v>
      </c>
      <c r="B44" s="21" t="s">
        <v>105</v>
      </c>
      <c r="C44" s="27" t="s">
        <v>116</v>
      </c>
      <c r="D44" s="27" t="str">
        <f t="shared" si="0"/>
        <v>4.6 Configure CI/CD Pipelines (if applicable)</v>
      </c>
      <c r="E44" s="27"/>
      <c r="F44" s="31" t="s">
        <v>117</v>
      </c>
      <c r="G44" s="27" t="s">
        <v>34</v>
      </c>
      <c r="H44" s="27" t="s">
        <v>157</v>
      </c>
    </row>
    <row r="45" spans="1:8">
      <c r="A45" s="30">
        <v>4.7</v>
      </c>
      <c r="B45" s="21" t="s">
        <v>105</v>
      </c>
      <c r="C45" s="27" t="s">
        <v>118</v>
      </c>
      <c r="D45" s="27" t="str">
        <f t="shared" si="0"/>
        <v>4.7 Application Smoke Testing</v>
      </c>
      <c r="E45" s="27"/>
      <c r="F45" s="31" t="s">
        <v>119</v>
      </c>
      <c r="G45" s="27" t="s">
        <v>34</v>
      </c>
      <c r="H45" s="27" t="s">
        <v>157</v>
      </c>
    </row>
    <row r="46" spans="1:8" ht="28.9">
      <c r="A46" s="26">
        <v>4.8</v>
      </c>
      <c r="B46" s="21" t="s">
        <v>105</v>
      </c>
      <c r="C46" s="27" t="s">
        <v>120</v>
      </c>
      <c r="D46" s="27" t="str">
        <f>_xlfn.CONCAT(A46, " ", C46)</f>
        <v>4.8 Complete Post-Migration Checklist (Post-Build)</v>
      </c>
      <c r="E46" s="27"/>
      <c r="F46" s="41" t="s">
        <v>121</v>
      </c>
      <c r="G46" s="27" t="s">
        <v>34</v>
      </c>
      <c r="H46" t="s">
        <v>157</v>
      </c>
    </row>
    <row r="47" spans="1:8" ht="28.9">
      <c r="A47" s="30">
        <v>4.9000000000000004</v>
      </c>
      <c r="B47" s="21" t="s">
        <v>105</v>
      </c>
      <c r="C47" s="27" t="s">
        <v>122</v>
      </c>
      <c r="D47" s="27" t="str">
        <f t="shared" si="0"/>
        <v>4.9 Submit any final DNS requests</v>
      </c>
      <c r="E47" s="27"/>
      <c r="F47" s="41"/>
      <c r="G47" s="27" t="s">
        <v>34</v>
      </c>
      <c r="H47" s="27" t="s">
        <v>157</v>
      </c>
    </row>
    <row r="48" spans="1:8" ht="15.6">
      <c r="A48" s="30">
        <v>4.0999999999999996</v>
      </c>
      <c r="B48" s="21" t="s">
        <v>105</v>
      </c>
      <c r="C48" s="27" t="s">
        <v>123</v>
      </c>
      <c r="D48" s="27" t="str">
        <f t="shared" si="0"/>
        <v>4.1 Technical Support</v>
      </c>
      <c r="E48" s="27"/>
      <c r="F48" s="38"/>
      <c r="G48" s="27" t="s">
        <v>40</v>
      </c>
      <c r="H48" s="27" t="s">
        <v>157</v>
      </c>
    </row>
    <row r="49" spans="1:8" ht="15.6">
      <c r="A49" s="26">
        <v>4.1100000000000003</v>
      </c>
      <c r="B49" s="21" t="s">
        <v>105</v>
      </c>
      <c r="C49" s="27" t="s">
        <v>124</v>
      </c>
      <c r="D49" s="27" t="str">
        <f t="shared" si="0"/>
        <v>4.11 Rollback Decision Made</v>
      </c>
      <c r="E49" s="27"/>
      <c r="F49" s="38"/>
      <c r="G49" s="27" t="s">
        <v>34</v>
      </c>
      <c r="H49" s="27" t="s">
        <v>157</v>
      </c>
    </row>
    <row r="50" spans="1:8">
      <c r="A50" s="30">
        <v>4.12</v>
      </c>
      <c r="B50" s="21" t="s">
        <v>105</v>
      </c>
      <c r="C50" s="27" t="s">
        <v>125</v>
      </c>
      <c r="D50" s="27" t="str">
        <f t="shared" si="0"/>
        <v>4.12 Rollback if required</v>
      </c>
      <c r="E50" s="27"/>
      <c r="F50" s="31" t="s">
        <v>126</v>
      </c>
      <c r="G50" s="27" t="s">
        <v>34</v>
      </c>
      <c r="H50" s="27" t="s">
        <v>165</v>
      </c>
    </row>
    <row r="51" spans="1:8" ht="28.9">
      <c r="A51" s="30">
        <v>5.0999999999999996</v>
      </c>
      <c r="B51" s="21" t="s">
        <v>127</v>
      </c>
      <c r="C51" s="27" t="s">
        <v>128</v>
      </c>
      <c r="D51" s="27" t="str">
        <f t="shared" si="0"/>
        <v>5.1 System Integration Testing (SIT)</v>
      </c>
      <c r="E51" s="27"/>
      <c r="F51" s="31" t="s">
        <v>129</v>
      </c>
      <c r="G51" s="27" t="s">
        <v>34</v>
      </c>
      <c r="H51" s="27" t="s">
        <v>157</v>
      </c>
    </row>
    <row r="52" spans="1:8" ht="15.6">
      <c r="A52" s="26">
        <v>5.2</v>
      </c>
      <c r="B52" s="21" t="s">
        <v>127</v>
      </c>
      <c r="C52" s="27" t="s">
        <v>130</v>
      </c>
      <c r="D52" s="27" t="str">
        <f t="shared" si="0"/>
        <v>5.2 Review &amp; Approval (TG2)</v>
      </c>
      <c r="E52" s="27"/>
      <c r="F52" s="38"/>
      <c r="G52" s="27" t="s">
        <v>34</v>
      </c>
      <c r="H52" s="27" t="s">
        <v>157</v>
      </c>
    </row>
    <row r="53" spans="1:8">
      <c r="A53" s="26">
        <v>5.3</v>
      </c>
      <c r="B53" s="21" t="s">
        <v>127</v>
      </c>
      <c r="C53" s="27" t="s">
        <v>131</v>
      </c>
      <c r="D53" s="27" t="str">
        <f t="shared" si="0"/>
        <v>5.3 Regression Testing/ UAT</v>
      </c>
      <c r="E53" s="27"/>
      <c r="F53" s="31" t="s">
        <v>132</v>
      </c>
      <c r="G53" s="27" t="s">
        <v>34</v>
      </c>
      <c r="H53" s="27" t="s">
        <v>157</v>
      </c>
    </row>
    <row r="54" spans="1:8" ht="15.6">
      <c r="A54" s="26">
        <v>5.4</v>
      </c>
      <c r="B54" s="21" t="s">
        <v>127</v>
      </c>
      <c r="C54" s="27" t="s">
        <v>123</v>
      </c>
      <c r="D54" s="27" t="str">
        <f t="shared" si="0"/>
        <v>5.4 Technical Support</v>
      </c>
      <c r="E54" s="27"/>
      <c r="F54" s="38"/>
      <c r="G54" s="27" t="s">
        <v>34</v>
      </c>
      <c r="H54" s="27" t="s">
        <v>157</v>
      </c>
    </row>
    <row r="55" spans="1:8" ht="57.6">
      <c r="A55" s="30">
        <v>6.1</v>
      </c>
      <c r="B55" s="20" t="s">
        <v>133</v>
      </c>
      <c r="C55" s="27" t="s">
        <v>134</v>
      </c>
      <c r="D55" s="27" t="str">
        <f t="shared" si="0"/>
        <v>6.1 Post cutover – Change Management and communication (TG3) (service owners)​</v>
      </c>
      <c r="E55" s="27"/>
      <c r="F55" s="31" t="s">
        <v>135</v>
      </c>
      <c r="G55" s="27" t="s">
        <v>34</v>
      </c>
      <c r="H55" s="27" t="s">
        <v>157</v>
      </c>
    </row>
    <row r="56" spans="1:8" ht="28.9">
      <c r="A56" s="26">
        <v>6.2</v>
      </c>
      <c r="B56" s="21" t="s">
        <v>136</v>
      </c>
      <c r="C56" s="27" t="s">
        <v>137</v>
      </c>
      <c r="D56" s="27" t="str">
        <f t="shared" si="0"/>
        <v>6.2 KT Sessions ( 2 1-hour sessions)​</v>
      </c>
      <c r="E56" s="27"/>
      <c r="F56" s="38"/>
      <c r="G56" s="27" t="s">
        <v>34</v>
      </c>
      <c r="H56" s="27" t="s">
        <v>157</v>
      </c>
    </row>
    <row r="57" spans="1:8" ht="28.9">
      <c r="A57" s="26">
        <v>6.3</v>
      </c>
      <c r="B57" s="21" t="s">
        <v>136</v>
      </c>
      <c r="C57" s="27" t="s">
        <v>138</v>
      </c>
      <c r="D57" s="27" t="str">
        <f t="shared" si="0"/>
        <v>6.3 Final DNS Cleanup (Servers and VIPs)</v>
      </c>
      <c r="E57" s="27"/>
      <c r="F57" s="38"/>
      <c r="G57" s="27" t="s">
        <v>34</v>
      </c>
      <c r="H57" s="27" t="s">
        <v>157</v>
      </c>
    </row>
    <row r="58" spans="1:8" ht="15.6">
      <c r="A58" s="26">
        <v>6.4</v>
      </c>
      <c r="B58" s="21" t="s">
        <v>136</v>
      </c>
      <c r="C58" s="27" t="s">
        <v>123</v>
      </c>
      <c r="D58" s="27" t="str">
        <f t="shared" si="0"/>
        <v>6.4 Technical Support</v>
      </c>
      <c r="E58" s="27"/>
      <c r="F58" s="38"/>
      <c r="G58" s="27" t="s">
        <v>34</v>
      </c>
      <c r="H58" s="27" t="s">
        <v>157</v>
      </c>
    </row>
    <row r="59" spans="1:8">
      <c r="A59" s="42">
        <v>7</v>
      </c>
      <c r="B59" s="22" t="s">
        <v>139</v>
      </c>
      <c r="C59" s="43" t="s">
        <v>123</v>
      </c>
      <c r="D59" s="27" t="str">
        <f t="shared" si="0"/>
        <v>7 Technical Support</v>
      </c>
      <c r="E59" s="43"/>
      <c r="F59" s="44" t="s">
        <v>140</v>
      </c>
      <c r="G59" s="27" t="s">
        <v>34</v>
      </c>
      <c r="H59" s="27" t="s">
        <v>157</v>
      </c>
    </row>
  </sheetData>
  <conditionalFormatting sqref="C2:D3 D4">
    <cfRule type="containsText" dxfId="1" priority="1" operator="containsText" text="Not Found">
      <formula>NOT(ISERROR(SEARCH("Not Found",C2)))</formula>
    </cfRule>
  </conditionalFormatting>
  <hyperlinks>
    <hyperlink ref="F50" r:id="rId1" xr:uid="{C49B25B1-CCC2-42D7-94B5-CC1141371A34}"/>
    <hyperlink ref="F46" r:id="rId2" xr:uid="{D61D6A75-B7E0-40A4-B47A-E20DF3D031BF}"/>
    <hyperlink ref="F45" r:id="rId3" xr:uid="{AE6D2D06-4796-4B24-959E-1E8A2091407B}"/>
    <hyperlink ref="F44" r:id="rId4" xr:uid="{576E6A07-6666-45E3-A1C2-347AA2B3815E}"/>
    <hyperlink ref="F43" r:id="rId5" xr:uid="{B9F990C6-B7F6-4E4D-B14C-514649144B2D}"/>
    <hyperlink ref="F41" r:id="rId6" xr:uid="{900AA7EA-EF45-42DD-A040-7D4FD1A5CA32}"/>
    <hyperlink ref="F39" r:id="rId7" xr:uid="{EA695942-A699-458E-87E6-B355F21C3C68}"/>
    <hyperlink ref="F51" r:id="rId8" xr:uid="{83C677F0-FE45-4D43-9CF3-026288AA1D6A}"/>
    <hyperlink ref="F53" r:id="rId9" xr:uid="{8A2EFAFB-F424-4B96-9044-7DD15259821D}"/>
    <hyperlink ref="F55" r:id="rId10" xr:uid="{9D7AAA0F-2F18-443F-9D49-4EDA226A52DE}"/>
    <hyperlink ref="F59" r:id="rId11" xr:uid="{854C21B9-EECF-4722-B39A-A9489CDF1E49}"/>
    <hyperlink ref="F20" r:id="rId12" xr:uid="{3D842CE5-6BBD-4740-8867-804B7EA7F339}"/>
    <hyperlink ref="F40" r:id="rId13" xr:uid="{6E2E3D0A-53DA-4300-8143-033F03E05338}"/>
    <hyperlink ref="F10" r:id="rId14" xr:uid="{DC73014B-BEDC-434C-B89C-980D3C1F9863}"/>
    <hyperlink ref="F18" r:id="rId15" xr:uid="{1F0D5466-FF87-4F37-A139-3214E15E786A}"/>
    <hyperlink ref="F11" r:id="rId16" xr:uid="{75E2D4EA-AEF0-4E78-BDC3-D1B24345FCF4}"/>
    <hyperlink ref="F21" r:id="rId17" xr:uid="{2F7D68BD-6CB6-4FCE-87EE-3B6B804DDB44}"/>
    <hyperlink ref="F26" r:id="rId18" xr:uid="{44847298-84D2-4524-8C8F-8DAB3E339B9F}"/>
    <hyperlink ref="F33" r:id="rId19" xr:uid="{B631548D-D847-4702-9CD8-CA3E4DD75C15}"/>
    <hyperlink ref="F13" r:id="rId20" xr:uid="{EFBF355A-4BDE-4AFB-9048-3F2A4493D097}"/>
    <hyperlink ref="F12" r:id="rId21" xr:uid="{C6608EA8-A118-42D5-87FB-728DFA55B811}"/>
    <hyperlink ref="F17" r:id="rId22" xr:uid="{A68F724F-4928-4495-922E-F7D821FE6DF8}"/>
    <hyperlink ref="F23" r:id="rId23" xr:uid="{16BB8761-D389-49E6-A4AF-0F20764F1858}"/>
    <hyperlink ref="F15" r:id="rId24" xr:uid="{6A8CD38A-DDBD-4DAB-8392-5752A12B86A3}"/>
    <hyperlink ref="F16" r:id="rId25" xr:uid="{975C1AF6-9D81-4BDA-85ED-F299B4B9ACB4}"/>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9B43929E-38DF-4EA2-A96E-504EB2B5F33B}">
            <xm:f>'1S4E_Prod'!#REF!="NA"</xm:f>
            <x14:dxf>
              <font>
                <color theme="2" tint="-0.499984740745262"/>
              </font>
              <fill>
                <patternFill>
                  <bgColor theme="0" tint="-0.24994659260841701"/>
                </patternFill>
              </fill>
            </x14:dxf>
          </x14:cfRule>
          <xm:sqref>C2:D3 D4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488BCCE215F4092AC3074E116A025" ma:contentTypeVersion="17" ma:contentTypeDescription="Create a new document." ma:contentTypeScope="" ma:versionID="3373a21e0efa8036ab9e039ff5bcf2bc">
  <xsd:schema xmlns:xsd="http://www.w3.org/2001/XMLSchema" xmlns:xs="http://www.w3.org/2001/XMLSchema" xmlns:p="http://schemas.microsoft.com/office/2006/metadata/properties" xmlns:ns1="http://schemas.microsoft.com/sharepoint/v3" xmlns:ns2="21ace167-2ea7-476c-8f5c-79f7c9fc7472" xmlns:ns3="7648b080-c593-4bcc-9f2b-ea93f0444efa" targetNamespace="http://schemas.microsoft.com/office/2006/metadata/properties" ma:root="true" ma:fieldsID="0e2b53fd522fb1261963bf290b3ae409" ns1:_="" ns2:_="" ns3:_="">
    <xsd:import namespace="http://schemas.microsoft.com/sharepoint/v3"/>
    <xsd:import namespace="21ace167-2ea7-476c-8f5c-79f7c9fc7472"/>
    <xsd:import namespace="7648b080-c593-4bcc-9f2b-ea93f0444e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ReleaseDat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ace167-2ea7-476c-8f5c-79f7c9fc74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bc46713-8fa2-488a-ac8b-ad618560c9d6"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ReleaseDate" ma:index="22" nillable="true" ma:displayName="Release Date" ma:format="Dropdown" ma:internalName="ReleaseDate">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48b080-c593-4bcc-9f2b-ea93f0444ef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1884f07-6d8f-42e9-9587-6ea8f1c53e39}" ma:internalName="TaxCatchAll" ma:showField="CatchAllData" ma:web="7648b080-c593-4bcc-9f2b-ea93f0444e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21ace167-2ea7-476c-8f5c-79f7c9fc7472">
      <Terms xmlns="http://schemas.microsoft.com/office/infopath/2007/PartnerControls"/>
    </lcf76f155ced4ddcb4097134ff3c332f>
    <_ip_UnifiedCompliancePolicyProperties xmlns="http://schemas.microsoft.com/sharepoint/v3" xsi:nil="true"/>
    <ReleaseDate xmlns="21ace167-2ea7-476c-8f5c-79f7c9fc7472" xsi:nil="true"/>
    <TaxCatchAll xmlns="7648b080-c593-4bcc-9f2b-ea93f0444ef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225608-4C8D-40BF-BFD7-320D6E0BA107}"/>
</file>

<file path=customXml/itemProps2.xml><?xml version="1.0" encoding="utf-8"?>
<ds:datastoreItem xmlns:ds="http://schemas.openxmlformats.org/officeDocument/2006/customXml" ds:itemID="{6632873B-82F8-4D15-8F1B-020F3B4E9320}"/>
</file>

<file path=customXml/itemProps3.xml><?xml version="1.0" encoding="utf-8"?>
<ds:datastoreItem xmlns:ds="http://schemas.openxmlformats.org/officeDocument/2006/customXml" ds:itemID="{D9234FB0-E619-4AEF-A466-8929DA3563D1}"/>
</file>

<file path=docMetadata/LabelInfo.xml><?xml version="1.0" encoding="utf-8"?>
<clbl:labelList xmlns:clbl="http://schemas.microsoft.com/office/2020/mipLabelMetadata">
  <clbl:label id="{d546e5e1-5d42-4630-bacd-c69bfdcbd5e8}" enabled="1" method="Standard" siteId="{96ece526-9c7d-48b0-8daf-8b93c90a5d1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2026-02-18T10:41:37Z</dcterms:created>
  <dcterms:modified xsi:type="dcterms:W3CDTF">2026-03-19T05:37:06Z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0x010100F20488BCCE215F4092AC3074E116A025</vt:lpwstr>
  </property>
  <property fmtid="{D5CDD505-2E9C-101B-9397-08002B2CF9AE}" pid="3" name="MediaServiceImageTags">
    <vt:lpwstr/>
  </property>
</Properties>
</file>